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DieseArbeitsmappe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bookViews>
    <workbookView xWindow="-15" yWindow="-30" windowWidth="16035" windowHeight="12195" tabRatio="769" activeTab="2"/>
  </bookViews>
  <sheets>
    <sheet name="Hinweise" sheetId="23" r:id="rId1"/>
    <sheet name="Aufstellung Heim" sheetId="4" r:id="rId2"/>
    <sheet name="Aufstellung Gast" sheetId="22" r:id="rId3"/>
    <sheet name="Spielfolge berechnen" sheetId="20" r:id="rId4"/>
    <sheet name="Spielbericht" sheetId="21" r:id="rId5"/>
    <sheet name="Schiedsrichter-Zettel" sheetId="18" r:id="rId6"/>
    <sheet name="SR Zettel (Vorlage)" sheetId="17" r:id="rId7"/>
  </sheets>
  <functionGroups builtInGroupCount="18"/>
  <definedNames>
    <definedName name="_xlnm.Print_Area" localSheetId="5">'Schiedsrichter-Zettel'!$A$1:$AO$266</definedName>
  </definedNames>
  <calcPr calcId="171027"/>
</workbook>
</file>

<file path=xl/calcChain.xml><?xml version="1.0" encoding="utf-8"?>
<calcChain xmlns="http://schemas.openxmlformats.org/spreadsheetml/2006/main">
  <c r="D2" i="22" l="1"/>
  <c r="E2" i="22"/>
  <c r="F2" i="22"/>
  <c r="G2" i="22"/>
  <c r="H2" i="22"/>
  <c r="D3" i="22"/>
  <c r="E3" i="22"/>
  <c r="F3" i="22"/>
  <c r="G3" i="22"/>
  <c r="H3" i="22"/>
  <c r="F5" i="22"/>
  <c r="F4" i="22" s="1"/>
  <c r="G5" i="22"/>
  <c r="G4" i="22" s="1"/>
  <c r="D6" i="22"/>
  <c r="C4" i="22" s="1"/>
  <c r="E6" i="22"/>
  <c r="F6" i="22"/>
  <c r="G6" i="22"/>
  <c r="H6" i="22"/>
  <c r="C8" i="22"/>
  <c r="C9" i="22"/>
  <c r="C10" i="22"/>
  <c r="C11" i="22"/>
  <c r="C12" i="22"/>
  <c r="C13" i="22"/>
  <c r="C14" i="22"/>
  <c r="C15" i="22"/>
  <c r="C16" i="22"/>
  <c r="C17" i="22"/>
  <c r="F19" i="22"/>
  <c r="G19" i="22"/>
  <c r="H19" i="22"/>
  <c r="C21" i="22"/>
  <c r="C22" i="22"/>
  <c r="C23" i="22"/>
  <c r="C24" i="22"/>
  <c r="C25" i="22"/>
  <c r="C26" i="22"/>
  <c r="F28" i="22"/>
  <c r="G28" i="22"/>
  <c r="H28" i="22"/>
  <c r="G29" i="22"/>
  <c r="D2" i="4"/>
  <c r="E2" i="4"/>
  <c r="F2" i="4"/>
  <c r="G2" i="4"/>
  <c r="H2" i="4"/>
  <c r="D3" i="4"/>
  <c r="E3" i="4"/>
  <c r="F3" i="4"/>
  <c r="G3" i="4"/>
  <c r="H3" i="4"/>
  <c r="F5" i="4"/>
  <c r="F4" i="4" s="1"/>
  <c r="G5" i="4"/>
  <c r="G4" i="4" s="1"/>
  <c r="D6" i="4"/>
  <c r="C4" i="4" s="1"/>
  <c r="E6" i="4"/>
  <c r="F6" i="4"/>
  <c r="G6" i="4"/>
  <c r="H6" i="4"/>
  <c r="C8" i="4"/>
  <c r="C9" i="4"/>
  <c r="C10" i="4"/>
  <c r="C11" i="4"/>
  <c r="C12" i="4"/>
  <c r="C13" i="4"/>
  <c r="C14" i="4"/>
  <c r="C15" i="4"/>
  <c r="C16" i="4"/>
  <c r="C17" i="4"/>
  <c r="F19" i="4"/>
  <c r="G19" i="4"/>
  <c r="H19" i="4"/>
  <c r="C21" i="4"/>
  <c r="C22" i="4"/>
  <c r="C23" i="4"/>
  <c r="C24" i="4"/>
  <c r="C25" i="4"/>
  <c r="C26" i="4"/>
  <c r="F28" i="4"/>
  <c r="G28" i="4"/>
  <c r="H28" i="4"/>
  <c r="G29" i="4"/>
  <c r="C5" i="18"/>
  <c r="C6" i="18"/>
  <c r="C8" i="18"/>
  <c r="C43" i="18"/>
  <c r="C44" i="18"/>
  <c r="C46" i="18"/>
  <c r="C81" i="18"/>
  <c r="C82" i="18"/>
  <c r="C84" i="18"/>
  <c r="C119" i="18"/>
  <c r="C120" i="18"/>
  <c r="C122" i="18"/>
  <c r="B126" i="18"/>
  <c r="B128" i="18"/>
  <c r="B131" i="18"/>
  <c r="B133" i="18"/>
  <c r="B136" i="18"/>
  <c r="B138" i="18"/>
  <c r="B141" i="18"/>
  <c r="B143" i="18"/>
  <c r="B146" i="18"/>
  <c r="B148" i="18"/>
  <c r="C157" i="18"/>
  <c r="C158" i="18"/>
  <c r="C160" i="18"/>
  <c r="B164" i="18"/>
  <c r="B166" i="18"/>
  <c r="B169" i="18"/>
  <c r="B171" i="18"/>
  <c r="B174" i="18"/>
  <c r="B176" i="18"/>
  <c r="B179" i="18"/>
  <c r="B181" i="18"/>
  <c r="B184" i="18"/>
  <c r="B186" i="18"/>
  <c r="C195" i="18"/>
  <c r="C198" i="18"/>
  <c r="C233" i="18"/>
  <c r="C234" i="18"/>
  <c r="C236" i="18"/>
  <c r="C10" i="21"/>
  <c r="F10" i="21"/>
  <c r="C12" i="21"/>
  <c r="G6" i="18" s="1"/>
  <c r="F12" i="21"/>
  <c r="V6" i="18" s="1"/>
  <c r="X12" i="21"/>
  <c r="Y12" i="21"/>
  <c r="Z12" i="21"/>
  <c r="AA12" i="21"/>
  <c r="AB12" i="21"/>
  <c r="AC12" i="21"/>
  <c r="C13" i="21"/>
  <c r="G7" i="18" s="1"/>
  <c r="F13" i="21"/>
  <c r="V7" i="18" s="1"/>
  <c r="C14" i="21"/>
  <c r="G44" i="18" s="1"/>
  <c r="F14" i="21"/>
  <c r="V44" i="18" s="1"/>
  <c r="X14" i="21"/>
  <c r="Y14" i="21"/>
  <c r="Z14" i="21"/>
  <c r="AA14" i="21"/>
  <c r="AB14" i="21"/>
  <c r="AC14" i="21"/>
  <c r="C15" i="21"/>
  <c r="G45" i="18" s="1"/>
  <c r="F15" i="21"/>
  <c r="V45" i="18" s="1"/>
  <c r="C16" i="21"/>
  <c r="G82" i="18" s="1"/>
  <c r="F16" i="21"/>
  <c r="V82" i="18" s="1"/>
  <c r="X16" i="21"/>
  <c r="Y16" i="21"/>
  <c r="Z16" i="21"/>
  <c r="AA16" i="21"/>
  <c r="AB16" i="21"/>
  <c r="AC16" i="21"/>
  <c r="C17" i="21"/>
  <c r="G83" i="18" s="1"/>
  <c r="F17" i="21"/>
  <c r="V83" i="18" s="1"/>
  <c r="C18" i="21"/>
  <c r="G120" i="18" s="1"/>
  <c r="B125" i="18" s="1"/>
  <c r="F18" i="21"/>
  <c r="V120" i="18" s="1"/>
  <c r="X18" i="21"/>
  <c r="Y18" i="21"/>
  <c r="Z18" i="21"/>
  <c r="AA18" i="21"/>
  <c r="AB18" i="21"/>
  <c r="AC18" i="21"/>
  <c r="C19" i="21"/>
  <c r="G158" i="18" s="1"/>
  <c r="F19" i="21"/>
  <c r="V158" i="18" s="1"/>
  <c r="X19" i="21"/>
  <c r="Y19" i="21"/>
  <c r="Z19" i="21"/>
  <c r="AA19" i="21"/>
  <c r="AB19" i="21"/>
  <c r="AC19" i="21"/>
  <c r="C20" i="21"/>
  <c r="G196" i="18" s="1"/>
  <c r="F20" i="21"/>
  <c r="V196" i="18" s="1"/>
  <c r="X20" i="21"/>
  <c r="Y20" i="21"/>
  <c r="Z20" i="21"/>
  <c r="AA20" i="21"/>
  <c r="AB20" i="21"/>
  <c r="AC20" i="21"/>
  <c r="C21" i="21"/>
  <c r="G197" i="18" s="1"/>
  <c r="F21" i="21"/>
  <c r="V197" i="18" s="1"/>
  <c r="C22" i="21"/>
  <c r="G234" i="18" s="1"/>
  <c r="F22" i="21"/>
  <c r="V234" i="18" s="1"/>
  <c r="X22" i="21"/>
  <c r="Y22" i="21"/>
  <c r="Z22" i="21"/>
  <c r="AA22" i="21"/>
  <c r="AB22" i="21"/>
  <c r="AC22" i="21"/>
  <c r="X23" i="21"/>
  <c r="Y23" i="21"/>
  <c r="Z23" i="21"/>
  <c r="AA23" i="21"/>
  <c r="AB23" i="21"/>
  <c r="C23" i="21" s="1"/>
  <c r="AC23" i="21"/>
  <c r="A25" i="21"/>
  <c r="C8" i="17"/>
  <c r="G8" i="17"/>
  <c r="V8" i="17"/>
  <c r="B11" i="17"/>
  <c r="B12" i="17"/>
  <c r="B13" i="17"/>
  <c r="B14" i="17"/>
  <c r="B16" i="17"/>
  <c r="B17" i="17"/>
  <c r="B18" i="17"/>
  <c r="B19" i="17"/>
  <c r="B21" i="17"/>
  <c r="B22" i="17"/>
  <c r="B23" i="17"/>
  <c r="B24" i="17"/>
  <c r="B26" i="17"/>
  <c r="B27" i="17"/>
  <c r="B28" i="17"/>
  <c r="B29" i="17"/>
  <c r="B31" i="17"/>
  <c r="B32" i="17"/>
  <c r="B33" i="17"/>
  <c r="B34" i="17"/>
  <c r="B241" i="18" l="1"/>
  <c r="B246" i="18"/>
  <c r="B251" i="18"/>
  <c r="B256" i="18"/>
  <c r="B261" i="18"/>
  <c r="B239" i="18"/>
  <c r="B244" i="18"/>
  <c r="B249" i="18"/>
  <c r="B254" i="18"/>
  <c r="B259" i="18"/>
  <c r="B204" i="18"/>
  <c r="B209" i="18"/>
  <c r="B214" i="18"/>
  <c r="B219" i="18"/>
  <c r="B224" i="18"/>
  <c r="B202" i="18"/>
  <c r="B207" i="18"/>
  <c r="B212" i="18"/>
  <c r="B217" i="18"/>
  <c r="B222" i="18"/>
  <c r="B203" i="18"/>
  <c r="B208" i="18"/>
  <c r="B213" i="18"/>
  <c r="B218" i="18"/>
  <c r="B223" i="18"/>
  <c r="B201" i="18"/>
  <c r="B206" i="18"/>
  <c r="B211" i="18"/>
  <c r="B216" i="18"/>
  <c r="B221" i="18"/>
  <c r="B165" i="18"/>
  <c r="B170" i="18"/>
  <c r="B175" i="18"/>
  <c r="B180" i="18"/>
  <c r="B185" i="18"/>
  <c r="B163" i="18"/>
  <c r="B168" i="18"/>
  <c r="B173" i="18"/>
  <c r="B178" i="18"/>
  <c r="B183" i="18"/>
  <c r="B127" i="18"/>
  <c r="B132" i="18"/>
  <c r="B137" i="18"/>
  <c r="B142" i="18"/>
  <c r="B147" i="18"/>
  <c r="B90" i="18"/>
  <c r="B95" i="18"/>
  <c r="B100" i="18"/>
  <c r="B105" i="18"/>
  <c r="B110" i="18"/>
  <c r="B88" i="18"/>
  <c r="B93" i="18"/>
  <c r="B98" i="18"/>
  <c r="B103" i="18"/>
  <c r="B108" i="18"/>
  <c r="B89" i="18"/>
  <c r="B94" i="18"/>
  <c r="B99" i="18"/>
  <c r="B104" i="18"/>
  <c r="B109" i="18"/>
  <c r="B87" i="18"/>
  <c r="B92" i="18"/>
  <c r="B97" i="18"/>
  <c r="B102" i="18"/>
  <c r="B107" i="18"/>
  <c r="B52" i="18"/>
  <c r="B57" i="18"/>
  <c r="B62" i="18"/>
  <c r="B67" i="18"/>
  <c r="B72" i="18"/>
  <c r="B50" i="18"/>
  <c r="B55" i="18"/>
  <c r="B60" i="18"/>
  <c r="B65" i="18"/>
  <c r="B70" i="18"/>
  <c r="B51" i="18"/>
  <c r="B56" i="18"/>
  <c r="B61" i="18"/>
  <c r="B66" i="18"/>
  <c r="B71" i="18"/>
  <c r="B49" i="18"/>
  <c r="B54" i="18"/>
  <c r="B59" i="18"/>
  <c r="B64" i="18"/>
  <c r="B69" i="18"/>
  <c r="B14" i="18"/>
  <c r="B19" i="18"/>
  <c r="B24" i="18"/>
  <c r="B29" i="18"/>
  <c r="B34" i="18"/>
  <c r="B12" i="18"/>
  <c r="B17" i="18"/>
  <c r="B22" i="18"/>
  <c r="B27" i="18"/>
  <c r="B32" i="18"/>
  <c r="B13" i="18"/>
  <c r="B18" i="18"/>
  <c r="B23" i="18"/>
  <c r="B28" i="18"/>
  <c r="B33" i="18"/>
  <c r="B11" i="18"/>
  <c r="B16" i="18"/>
  <c r="B21" i="18"/>
  <c r="B26" i="18"/>
  <c r="B31" i="18"/>
  <c r="V8" i="18"/>
  <c r="V46" i="18"/>
  <c r="V84" i="18"/>
  <c r="G8" i="18"/>
  <c r="G46" i="18"/>
  <c r="G84" i="18"/>
  <c r="V236" i="18"/>
  <c r="G236" i="18"/>
  <c r="V198" i="18"/>
  <c r="G198" i="18"/>
  <c r="V160" i="18"/>
  <c r="G160" i="18"/>
  <c r="B145" i="18"/>
  <c r="B140" i="18"/>
  <c r="B135" i="18"/>
  <c r="B130" i="18"/>
  <c r="V122" i="18"/>
  <c r="G122" i="18"/>
</calcChain>
</file>

<file path=xl/sharedStrings.xml><?xml version="1.0" encoding="utf-8"?>
<sst xmlns="http://schemas.openxmlformats.org/spreadsheetml/2006/main" count="352" uniqueCount="109">
  <si>
    <t>XD</t>
  </si>
  <si>
    <t>:</t>
  </si>
  <si>
    <t>Spiel Nr</t>
  </si>
  <si>
    <t>Satzergebnis</t>
  </si>
  <si>
    <t>Schiedsrichter</t>
  </si>
  <si>
    <t>........................................................</t>
  </si>
  <si>
    <t xml:space="preserve">  :</t>
  </si>
  <si>
    <t>Aufschlagrichter</t>
  </si>
  <si>
    <t>Feld Nr</t>
  </si>
  <si>
    <t>Beginn</t>
  </si>
  <si>
    <t>..................</t>
  </si>
  <si>
    <t>Ende</t>
  </si>
  <si>
    <t xml:space="preserve">    ..................</t>
  </si>
  <si>
    <t>Datum</t>
  </si>
  <si>
    <t>Dauer</t>
  </si>
  <si>
    <t>(Min.)</t>
  </si>
  <si>
    <t>Schiedsrichter …………………………………</t>
  </si>
  <si>
    <t xml:space="preserve">            Referee …………………………………</t>
  </si>
  <si>
    <r>
      <t xml:space="preserve">Deutscher  </t>
    </r>
    <r>
      <rPr>
        <b/>
        <sz val="22"/>
        <rFont val="Arial"/>
        <family val="2"/>
      </rPr>
      <t>Badminton</t>
    </r>
    <r>
      <rPr>
        <b/>
        <sz val="14"/>
        <rFont val="Arial"/>
        <family val="2"/>
      </rPr>
      <t xml:space="preserve">  Verband</t>
    </r>
  </si>
  <si>
    <t>Heim</t>
  </si>
  <si>
    <t>1.HE</t>
  </si>
  <si>
    <t>2.HE</t>
  </si>
  <si>
    <t>1.HD</t>
  </si>
  <si>
    <t>2.HD</t>
  </si>
  <si>
    <t>DE</t>
  </si>
  <si>
    <t>DD</t>
  </si>
  <si>
    <t>E</t>
  </si>
  <si>
    <t>Gast</t>
  </si>
  <si>
    <t>Spiel</t>
  </si>
  <si>
    <t>folge</t>
  </si>
  <si>
    <t>1. Satz</t>
  </si>
  <si>
    <t>2. Satz</t>
  </si>
  <si>
    <t>3. Satz</t>
  </si>
  <si>
    <t>Punkte</t>
  </si>
  <si>
    <t>Sätze</t>
  </si>
  <si>
    <t>Sieger:</t>
  </si>
  <si>
    <t>Besondere Vorkommnisse</t>
  </si>
  <si>
    <t>Mannschaftsführer Heim</t>
  </si>
  <si>
    <t>Mannschaftsführer Gast</t>
  </si>
  <si>
    <t>Spieltag</t>
  </si>
  <si>
    <t>Spielbericht</t>
  </si>
  <si>
    <t>Uhrzeit</t>
  </si>
  <si>
    <t xml:space="preserve">Unterschriften  </t>
  </si>
  <si>
    <t>...........……</t>
  </si>
  <si>
    <t xml:space="preserve">Schiedsrichter </t>
  </si>
  <si>
    <t xml:space="preserve">Aufschlagrichter </t>
  </si>
  <si>
    <t xml:space="preserve"> XD </t>
  </si>
  <si>
    <t>Vorgesehene Ersatzspieler</t>
  </si>
  <si>
    <t>Spielabfolge</t>
  </si>
  <si>
    <r>
      <t xml:space="preserve">1. </t>
    </r>
    <r>
      <rPr>
        <b/>
        <sz val="10"/>
        <rFont val="Arial"/>
        <family val="2"/>
      </rPr>
      <t>/</t>
    </r>
    <r>
      <rPr>
        <sz val="10"/>
        <rFont val="Arial"/>
        <family val="2"/>
      </rPr>
      <t xml:space="preserve"> 2.</t>
    </r>
  </si>
  <si>
    <t>3.</t>
  </si>
  <si>
    <t>4.</t>
  </si>
  <si>
    <t>5.</t>
  </si>
  <si>
    <t>6.</t>
  </si>
  <si>
    <t>7.</t>
  </si>
  <si>
    <t>8.</t>
  </si>
  <si>
    <t xml:space="preserve"> Hauptvorschlag</t>
  </si>
  <si>
    <t xml:space="preserve">  weitere</t>
  </si>
  <si>
    <t xml:space="preserve">  Vorschläge</t>
  </si>
  <si>
    <t xml:space="preserve"> Aufstellung</t>
  </si>
  <si>
    <r>
      <t xml:space="preserve"> Heim</t>
    </r>
    <r>
      <rPr>
        <sz val="12"/>
        <rFont val="Arial"/>
        <family val="2"/>
      </rPr>
      <t>-Mannschaft</t>
    </r>
  </si>
  <si>
    <t xml:space="preserve"> Herren</t>
  </si>
  <si>
    <t xml:space="preserve"> Damen</t>
  </si>
  <si>
    <t xml:space="preserve"> Mannschaftsführer</t>
  </si>
  <si>
    <r>
      <t xml:space="preserve"> Gast</t>
    </r>
    <r>
      <rPr>
        <sz val="12"/>
        <rFont val="Arial"/>
        <family val="2"/>
      </rPr>
      <t>-Mannschaft</t>
    </r>
  </si>
  <si>
    <r>
      <t xml:space="preserve">© 2016  Klaus-Michael Becker    </t>
    </r>
    <r>
      <rPr>
        <sz val="8"/>
        <color indexed="23"/>
        <rFont val="Arial"/>
        <family val="2"/>
      </rPr>
      <t>becker.witten@t-online.de</t>
    </r>
  </si>
  <si>
    <t>Aufstellung Heim  (Aufstellung Gast)</t>
  </si>
  <si>
    <t>Neben dem Eintragungsfeld zum Mannschaftsnamen wird signalisiert, ob die</t>
  </si>
  <si>
    <t xml:space="preserve">   Eintragungen im Raster insgesamt schlüssig sind (rot, grün)</t>
  </si>
  <si>
    <t>Spielfolge berechnen</t>
  </si>
  <si>
    <t>Gelbe Felder sind beschreibbar.</t>
  </si>
  <si>
    <t xml:space="preserve">Fehler im Raster werden seitlich und oberhalb farblich angezeigt (weiß, rot, grün). </t>
  </si>
  <si>
    <r>
      <t xml:space="preserve">Die Spielfolge kann manuell oder aber auch über </t>
    </r>
    <r>
      <rPr>
        <b/>
        <sz val="10"/>
        <rFont val="Arial"/>
        <family val="2"/>
      </rPr>
      <t>Spielfolge berechnen</t>
    </r>
    <r>
      <rPr>
        <sz val="10"/>
        <rFont val="Arial"/>
      </rPr>
      <t xml:space="preserve"> eingetragen werden.</t>
    </r>
  </si>
  <si>
    <t>Schiedsrichterzettel</t>
  </si>
  <si>
    <t>Einzig die Felder für die Spielernamen sind beschreibbar.</t>
  </si>
  <si>
    <r>
      <t xml:space="preserve">Eintragungen sind nicht möglich, sämtliche Daten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</si>
  <si>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>SR Zettel (Vorlage)</t>
  </si>
  <si>
    <t>Hinweise zu Konflikten</t>
  </si>
  <si>
    <t>4. Satz</t>
  </si>
  <si>
    <t>5. Satz</t>
  </si>
  <si>
    <t>Diszi</t>
  </si>
  <si>
    <t>plin</t>
  </si>
  <si>
    <t xml:space="preserve">               leitender Schiedsrichter</t>
  </si>
  <si>
    <t>...............................................…</t>
  </si>
  <si>
    <t>..................................................</t>
  </si>
  <si>
    <t>Disziplin</t>
  </si>
  <si>
    <t xml:space="preserve">     in dem Raster neben dem Namen eine Disziplin (bzw. zwei) zugewiesen.</t>
  </si>
  <si>
    <r>
      <t xml:space="preserve">Spielern wird durch ein  </t>
    </r>
    <r>
      <rPr>
        <b/>
        <sz val="10"/>
        <rFont val="Arial"/>
        <family val="2"/>
      </rPr>
      <t xml:space="preserve">X </t>
    </r>
    <r>
      <rPr>
        <sz val="10"/>
        <rFont val="Arial"/>
      </rPr>
      <t xml:space="preserve"> (oder einem anderen Zeichen aber </t>
    </r>
    <r>
      <rPr>
        <sz val="10"/>
        <color indexed="10"/>
        <rFont val="Arial"/>
        <family val="2"/>
      </rPr>
      <t>kein</t>
    </r>
    <r>
      <rPr>
        <sz val="10"/>
        <rFont val="Arial"/>
      </rPr>
      <t xml:space="preserve"> Leerzeichen)</t>
    </r>
  </si>
  <si>
    <t>(Schiedsrichterzettel sind eventuell neu zu drucken.)</t>
  </si>
  <si>
    <t xml:space="preserve">Austragungsstätte </t>
  </si>
  <si>
    <t>Protestvorbehalt / Protestgrund</t>
  </si>
  <si>
    <t>ja</t>
  </si>
  <si>
    <t>Die Mindestanforderungen nach Anlage VI der BLO wurden eingehalten:</t>
  </si>
  <si>
    <t xml:space="preserve"> 1. Bundesliga</t>
  </si>
  <si>
    <t xml:space="preserve"> 2. Bundesliga Nord</t>
  </si>
  <si>
    <t xml:space="preserve"> 2. Bundesliga Süd</t>
  </si>
  <si>
    <t>nein   (siehe Anlage)</t>
  </si>
  <si>
    <t>Generell</t>
  </si>
  <si>
    <t>Alle blau eingefärbten Felder sind Schalter, die nur dann eine Aktion auslösen,</t>
  </si>
  <si>
    <t xml:space="preserve">    wenn auch Makros erlaubt wurden.</t>
  </si>
  <si>
    <r>
      <t xml:space="preserve">Vereinsnamen und Spielernamen werden von </t>
    </r>
    <r>
      <rPr>
        <b/>
        <sz val="10"/>
        <rFont val="Arial"/>
        <family val="2"/>
      </rPr>
      <t>Aufstellung Heim</t>
    </r>
    <r>
      <rPr>
        <sz val="10"/>
        <rFont val="Arial"/>
      </rPr>
      <t xml:space="preserve"> (bzw. </t>
    </r>
    <r>
      <rPr>
        <b/>
        <sz val="10"/>
        <rFont val="Arial"/>
        <family val="2"/>
      </rPr>
      <t>Gast</t>
    </r>
    <r>
      <rPr>
        <sz val="10"/>
        <rFont val="Arial"/>
      </rPr>
      <t>) übernommen.</t>
    </r>
  </si>
  <si>
    <t>Die Namen der Spieler sollten vollständig mit Vor- und Nachnamen eingegeben werden.</t>
  </si>
  <si>
    <t>Der Mannschaftsführer ist in einem separaten Feld einzutragen.</t>
  </si>
  <si>
    <t>Der Mannschaftsname wird zuerst eingetragen.</t>
  </si>
  <si>
    <t>Wird ein Ersatzspieler zum Einsatz gebracht, so ist das entsprechende Kreuzchen</t>
  </si>
  <si>
    <t xml:space="preserve">   bei dem nicht Spielenden zu entfernen und bei dem Ersatzspieler zu setzen.</t>
  </si>
  <si>
    <t>Nach einem Klick auf den Schalter werden die günstigsten Spielabfolgen ausgegeben.</t>
  </si>
  <si>
    <t xml:space="preserve">     Unvermeidbare Kollisionen zwischen den Zeittakten werden dort wo sie vorliegen blau </t>
  </si>
  <si>
    <t xml:space="preserve">     markiert und explizit angegen.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</si>
</sst>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"/>
  </numFmts>
  <fonts count="29">
    <font>
      <sz val="10"/>
      <name val="Arial"/>
    </font>
    <font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sz val="16"/>
      <name val="Bookman Old Style"/>
      <family val="1"/>
    </font>
    <font>
      <sz val="11"/>
      <name val="Arial"/>
      <family val="2"/>
    </font>
    <font>
      <sz val="18"/>
      <name val="Arial Black"/>
      <family val="2"/>
    </font>
    <font>
      <sz val="7"/>
      <name val="Arial"/>
      <family val="2"/>
    </font>
    <font>
      <b/>
      <sz val="10"/>
      <name val="Arial"/>
    </font>
    <font>
      <sz val="10"/>
      <name val="Helvetica Narrow"/>
    </font>
    <font>
      <sz val="1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2"/>
      <color indexed="9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b/>
      <sz val="9"/>
      <name val="Arial"/>
      <family val="2"/>
    </font>
    <font>
      <sz val="10"/>
      <color indexed="41"/>
      <name val="Arial"/>
      <family val="2"/>
    </font>
    <font>
      <sz val="10"/>
      <color indexed="23"/>
      <name val="Arial"/>
      <family val="2"/>
    </font>
    <font>
      <b/>
      <sz val="10"/>
      <color indexed="9"/>
      <name val="Arial"/>
      <family val="2"/>
    </font>
    <font>
      <sz val="12"/>
      <color indexed="10"/>
      <name val="Arial"/>
      <family val="2"/>
    </font>
    <font>
      <sz val="8"/>
      <color indexed="23"/>
      <name val="Arial"/>
      <family val="2"/>
    </font>
    <font>
      <sz val="10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420">
    <xf numFmtId="0" fontId="0" fillId="0" borderId="0" xfId="0"/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1" xfId="0" applyFill="1" applyBorder="1" applyProtection="1"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Protection="1">
      <protection hidden="1"/>
    </xf>
    <xf numFmtId="0" fontId="20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center"/>
      <protection hidden="1"/>
    </xf>
    <xf numFmtId="0" fontId="21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4" fillId="3" borderId="8" xfId="0" applyFont="1" applyFill="1" applyBorder="1" applyAlignment="1" applyProtection="1">
      <alignment vertical="center"/>
      <protection hidden="1"/>
    </xf>
    <xf numFmtId="0" fontId="19" fillId="3" borderId="8" xfId="0" applyFont="1" applyFill="1" applyBorder="1" applyAlignment="1" applyProtection="1">
      <alignment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left" vertical="center"/>
      <protection hidden="1"/>
    </xf>
    <xf numFmtId="0" fontId="5" fillId="3" borderId="11" xfId="0" applyFont="1" applyFill="1" applyBorder="1" applyAlignment="1" applyProtection="1">
      <alignment horizontal="center" vertical="center"/>
      <protection hidden="1"/>
    </xf>
    <xf numFmtId="0" fontId="5" fillId="3" borderId="12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Protection="1"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19" fillId="3" borderId="15" xfId="0" applyFont="1" applyFill="1" applyBorder="1" applyAlignment="1" applyProtection="1">
      <alignment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locked="0"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4" borderId="17" xfId="0" applyFont="1" applyFill="1" applyBorder="1" applyAlignment="1" applyProtection="1">
      <alignment horizontal="center" vertical="center"/>
      <protection locked="0" hidden="1"/>
    </xf>
    <xf numFmtId="0" fontId="4" fillId="4" borderId="18" xfId="0" applyFont="1" applyFill="1" applyBorder="1" applyAlignment="1" applyProtection="1">
      <alignment horizontal="center" vertical="center"/>
      <protection locked="0" hidden="1"/>
    </xf>
    <xf numFmtId="0" fontId="4" fillId="3" borderId="19" xfId="0" applyFont="1" applyFill="1" applyBorder="1" applyAlignment="1" applyProtection="1">
      <alignment horizontal="center" vertical="center"/>
      <protection hidden="1"/>
    </xf>
    <xf numFmtId="0" fontId="4" fillId="4" borderId="20" xfId="0" applyFont="1" applyFill="1" applyBorder="1" applyAlignment="1" applyProtection="1">
      <alignment horizontal="center" vertical="center"/>
      <protection locked="0" hidden="1"/>
    </xf>
    <xf numFmtId="0" fontId="4" fillId="4" borderId="21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4" fillId="3" borderId="22" xfId="0" applyFont="1" applyFill="1" applyBorder="1" applyAlignment="1" applyProtection="1">
      <alignment vertical="center"/>
      <protection hidden="1"/>
    </xf>
    <xf numFmtId="0" fontId="4" fillId="3" borderId="10" xfId="0" applyFont="1" applyFill="1" applyBorder="1" applyAlignment="1" applyProtection="1">
      <alignment vertical="center"/>
      <protection hidden="1"/>
    </xf>
    <xf numFmtId="0" fontId="4" fillId="5" borderId="11" xfId="0" applyFont="1" applyFill="1" applyBorder="1" applyAlignment="1" applyProtection="1">
      <alignment horizontal="center" vertical="center"/>
      <protection hidden="1"/>
    </xf>
    <xf numFmtId="0" fontId="4" fillId="5" borderId="15" xfId="0" applyFont="1" applyFill="1" applyBorder="1" applyAlignment="1" applyProtection="1">
      <alignment vertical="center"/>
      <protection hidden="1"/>
    </xf>
    <xf numFmtId="0" fontId="4" fillId="5" borderId="17" xfId="0" applyFont="1" applyFill="1" applyBorder="1" applyAlignment="1" applyProtection="1">
      <alignment vertical="center"/>
      <protection hidden="1"/>
    </xf>
    <xf numFmtId="0" fontId="19" fillId="3" borderId="20" xfId="0" applyFont="1" applyFill="1" applyBorder="1" applyAlignment="1" applyProtection="1">
      <alignment vertical="center"/>
      <protection hidden="1"/>
    </xf>
    <xf numFmtId="0" fontId="4" fillId="5" borderId="20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vertical="center"/>
      <protection locked="0" hidden="1"/>
    </xf>
    <xf numFmtId="0" fontId="19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Border="1" applyAlignment="1" applyProtection="1">
      <alignment vertical="center"/>
      <protection hidden="1"/>
    </xf>
    <xf numFmtId="0" fontId="0" fillId="2" borderId="23" xfId="0" applyFill="1" applyBorder="1" applyProtection="1">
      <protection hidden="1"/>
    </xf>
    <xf numFmtId="0" fontId="0" fillId="2" borderId="24" xfId="0" applyFill="1" applyBorder="1" applyProtection="1">
      <protection hidden="1"/>
    </xf>
    <xf numFmtId="0" fontId="0" fillId="2" borderId="25" xfId="0" applyFill="1" applyBorder="1" applyProtection="1">
      <protection hidden="1"/>
    </xf>
    <xf numFmtId="0" fontId="0" fillId="2" borderId="26" xfId="0" applyFill="1" applyBorder="1" applyProtection="1">
      <protection hidden="1"/>
    </xf>
    <xf numFmtId="0" fontId="0" fillId="2" borderId="27" xfId="0" applyFill="1" applyBorder="1" applyProtection="1">
      <protection hidden="1"/>
    </xf>
    <xf numFmtId="0" fontId="0" fillId="2" borderId="28" xfId="0" applyFill="1" applyBorder="1" applyProtection="1">
      <protection hidden="1"/>
    </xf>
    <xf numFmtId="0" fontId="0" fillId="2" borderId="29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0" fillId="2" borderId="31" xfId="0" applyFill="1" applyBorder="1" applyProtection="1">
      <protection hidden="1"/>
    </xf>
    <xf numFmtId="0" fontId="0" fillId="2" borderId="32" xfId="0" applyFill="1" applyBorder="1" applyProtection="1">
      <protection hidden="1"/>
    </xf>
    <xf numFmtId="0" fontId="0" fillId="2" borderId="33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17" fillId="3" borderId="0" xfId="0" applyFont="1" applyFill="1" applyAlignment="1" applyProtection="1">
      <alignment horizontal="left"/>
      <protection hidden="1"/>
    </xf>
    <xf numFmtId="0" fontId="3" fillId="3" borderId="0" xfId="0" applyFon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17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17" fillId="3" borderId="0" xfId="0" applyFont="1" applyFill="1" applyAlignment="1" applyProtection="1">
      <alignment horizontal="center"/>
      <protection hidden="1"/>
    </xf>
    <xf numFmtId="0" fontId="17" fillId="3" borderId="0" xfId="0" applyFont="1" applyFill="1" applyBorder="1" applyProtection="1">
      <protection hidden="1"/>
    </xf>
    <xf numFmtId="0" fontId="17" fillId="3" borderId="0" xfId="0" applyFont="1" applyFill="1" applyAlignment="1" applyProtection="1">
      <alignment horizontal="right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right"/>
      <protection hidden="1"/>
    </xf>
    <xf numFmtId="14" fontId="0" fillId="3" borderId="0" xfId="0" applyNumberFormat="1" applyFill="1" applyAlignment="1" applyProtection="1">
      <alignment horizontal="left"/>
      <protection hidden="1"/>
    </xf>
    <xf numFmtId="164" fontId="17" fillId="3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right"/>
      <protection hidden="1"/>
    </xf>
    <xf numFmtId="164" fontId="0" fillId="3" borderId="0" xfId="0" applyNumberFormat="1" applyFill="1" applyProtection="1">
      <protection hidden="1"/>
    </xf>
    <xf numFmtId="0" fontId="0" fillId="3" borderId="12" xfId="0" applyFill="1" applyBorder="1" applyAlignment="1" applyProtection="1">
      <alignment horizontal="center"/>
      <protection hidden="1"/>
    </xf>
    <xf numFmtId="0" fontId="0" fillId="3" borderId="34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22" xfId="0" applyFill="1" applyBorder="1" applyAlignment="1" applyProtection="1">
      <alignment horizontal="center" vertical="center"/>
      <protection hidden="1"/>
    </xf>
    <xf numFmtId="0" fontId="0" fillId="3" borderId="36" xfId="0" applyFill="1" applyBorder="1" applyAlignment="1" applyProtection="1">
      <alignment horizontal="center" vertical="center"/>
      <protection hidden="1"/>
    </xf>
    <xf numFmtId="0" fontId="0" fillId="3" borderId="37" xfId="0" applyFill="1" applyBorder="1" applyAlignment="1" applyProtection="1">
      <alignment horizontal="center" vertical="center"/>
      <protection hidden="1"/>
    </xf>
    <xf numFmtId="0" fontId="16" fillId="3" borderId="11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5" fillId="3" borderId="0" xfId="0" applyFont="1" applyFill="1" applyBorder="1" applyProtection="1">
      <protection hidden="1"/>
    </xf>
    <xf numFmtId="0" fontId="5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Protection="1">
      <protection hidden="1"/>
    </xf>
    <xf numFmtId="0" fontId="0" fillId="3" borderId="0" xfId="0" applyFill="1" applyAlignment="1" applyProtection="1">
      <protection hidden="1"/>
    </xf>
    <xf numFmtId="0" fontId="6" fillId="3" borderId="0" xfId="0" applyFont="1" applyFill="1" applyAlignment="1" applyProtection="1">
      <alignment vertical="top"/>
      <protection hidden="1"/>
    </xf>
    <xf numFmtId="0" fontId="8" fillId="3" borderId="0" xfId="0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Border="1" applyAlignment="1" applyProtection="1">
      <protection hidden="1"/>
    </xf>
    <xf numFmtId="0" fontId="2" fillId="3" borderId="0" xfId="0" applyFont="1" applyFill="1" applyProtection="1">
      <protection hidden="1"/>
    </xf>
    <xf numFmtId="0" fontId="12" fillId="3" borderId="0" xfId="0" applyFont="1" applyFill="1" applyAlignment="1" applyProtection="1">
      <protection hidden="1"/>
    </xf>
    <xf numFmtId="0" fontId="13" fillId="3" borderId="0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12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right"/>
      <protection hidden="1"/>
    </xf>
    <xf numFmtId="0" fontId="13" fillId="3" borderId="7" xfId="0" applyFont="1" applyFill="1" applyBorder="1" applyProtection="1"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2" fillId="3" borderId="24" xfId="0" applyFont="1" applyFill="1" applyBorder="1" applyAlignment="1" applyProtection="1">
      <alignment vertical="center"/>
      <protection hidden="1"/>
    </xf>
    <xf numFmtId="0" fontId="2" fillId="3" borderId="2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2" fillId="3" borderId="38" xfId="0" applyFont="1" applyFill="1" applyBorder="1" applyProtection="1">
      <protection hidden="1"/>
    </xf>
    <xf numFmtId="0" fontId="2" fillId="3" borderId="39" xfId="0" applyFont="1" applyFill="1" applyBorder="1" applyAlignment="1" applyProtection="1">
      <alignment horizontal="center" vertical="center"/>
      <protection hidden="1"/>
    </xf>
    <xf numFmtId="0" fontId="2" fillId="3" borderId="40" xfId="0" applyFont="1" applyFill="1" applyBorder="1" applyAlignment="1" applyProtection="1">
      <alignment vertical="center"/>
      <protection hidden="1"/>
    </xf>
    <xf numFmtId="0" fontId="2" fillId="3" borderId="41" xfId="0" applyFont="1" applyFill="1" applyBorder="1" applyAlignment="1" applyProtection="1">
      <alignment vertical="center"/>
      <protection hidden="1"/>
    </xf>
    <xf numFmtId="0" fontId="2" fillId="3" borderId="42" xfId="0" applyFont="1" applyFill="1" applyBorder="1" applyAlignment="1" applyProtection="1">
      <alignment vertical="center"/>
      <protection hidden="1"/>
    </xf>
    <xf numFmtId="14" fontId="17" fillId="3" borderId="0" xfId="0" applyNumberFormat="1" applyFont="1" applyFill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 vertical="center"/>
      <protection hidden="1"/>
    </xf>
    <xf numFmtId="0" fontId="2" fillId="3" borderId="29" xfId="0" applyFont="1" applyFill="1" applyBorder="1" applyAlignment="1" applyProtection="1">
      <alignment vertical="center"/>
      <protection hidden="1"/>
    </xf>
    <xf numFmtId="0" fontId="2" fillId="3" borderId="43" xfId="0" applyFont="1" applyFill="1" applyBorder="1" applyAlignment="1" applyProtection="1">
      <alignment vertical="center"/>
      <protection hidden="1"/>
    </xf>
    <xf numFmtId="0" fontId="2" fillId="3" borderId="44" xfId="0" applyFont="1" applyFill="1" applyBorder="1" applyAlignment="1" applyProtection="1">
      <alignment vertical="center"/>
      <protection hidden="1"/>
    </xf>
    <xf numFmtId="0" fontId="4" fillId="3" borderId="0" xfId="0" applyFont="1" applyFill="1" applyProtection="1">
      <protection hidden="1"/>
    </xf>
    <xf numFmtId="0" fontId="0" fillId="3" borderId="23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24" xfId="0" applyFill="1" applyBorder="1" applyProtection="1">
      <protection hidden="1"/>
    </xf>
    <xf numFmtId="0" fontId="0" fillId="3" borderId="25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32" xfId="0" applyFill="1" applyBorder="1" applyProtection="1">
      <protection hidden="1"/>
    </xf>
    <xf numFmtId="0" fontId="0" fillId="3" borderId="28" xfId="0" applyFill="1" applyBorder="1" applyProtection="1">
      <protection hidden="1"/>
    </xf>
    <xf numFmtId="0" fontId="0" fillId="3" borderId="29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0" fillId="3" borderId="21" xfId="0" applyFill="1" applyBorder="1" applyProtection="1">
      <protection hidden="1"/>
    </xf>
    <xf numFmtId="0" fontId="0" fillId="3" borderId="45" xfId="0" applyFill="1" applyBorder="1" applyProtection="1">
      <protection hidden="1"/>
    </xf>
    <xf numFmtId="0" fontId="0" fillId="3" borderId="31" xfId="0" applyFill="1" applyBorder="1" applyProtection="1">
      <protection hidden="1"/>
    </xf>
    <xf numFmtId="0" fontId="0" fillId="3" borderId="33" xfId="0" applyFill="1" applyBorder="1" applyProtection="1">
      <protection hidden="1"/>
    </xf>
    <xf numFmtId="0" fontId="0" fillId="3" borderId="30" xfId="0" applyFill="1" applyBorder="1" applyProtection="1">
      <protection hidden="1"/>
    </xf>
    <xf numFmtId="0" fontId="0" fillId="3" borderId="43" xfId="0" applyFill="1" applyBorder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14" fontId="5" fillId="3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3" borderId="45" xfId="0" applyFill="1" applyBorder="1" applyAlignment="1" applyProtection="1">
      <alignment horizontal="left"/>
      <protection hidden="1"/>
    </xf>
    <xf numFmtId="0" fontId="0" fillId="3" borderId="43" xfId="0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protection hidden="1"/>
    </xf>
    <xf numFmtId="14" fontId="3" fillId="3" borderId="0" xfId="0" applyNumberFormat="1" applyFont="1" applyFill="1" applyAlignment="1" applyProtection="1">
      <alignment horizontal="center"/>
      <protection hidden="1"/>
    </xf>
    <xf numFmtId="0" fontId="20" fillId="3" borderId="0" xfId="0" applyFont="1" applyFill="1" applyAlignment="1" applyProtection="1">
      <alignment horizontal="right" vertical="center"/>
      <protection hidden="1"/>
    </xf>
    <xf numFmtId="0" fontId="19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0" fillId="3" borderId="0" xfId="0" applyFill="1" applyAlignment="1" applyProtection="1">
      <alignment horizontal="left"/>
      <protection locked="0" hidden="1"/>
    </xf>
    <xf numFmtId="0" fontId="0" fillId="3" borderId="0" xfId="0" applyFill="1" applyBorder="1" applyProtection="1">
      <protection locked="0" hidden="1"/>
    </xf>
    <xf numFmtId="0" fontId="25" fillId="3" borderId="4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3" fillId="3" borderId="38" xfId="0" applyFont="1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vertical="center"/>
      <protection locked="0" hidden="1"/>
    </xf>
    <xf numFmtId="0" fontId="0" fillId="3" borderId="43" xfId="0" applyFill="1" applyBorder="1" applyAlignment="1" applyProtection="1">
      <alignment vertical="center"/>
      <protection locked="0" hidden="1"/>
    </xf>
    <xf numFmtId="0" fontId="0" fillId="3" borderId="0" xfId="0" applyFill="1" applyAlignment="1" applyProtection="1">
      <alignment vertical="center"/>
      <protection locked="0" hidden="1"/>
    </xf>
    <xf numFmtId="0" fontId="0" fillId="3" borderId="46" xfId="0" applyFill="1" applyBorder="1" applyProtection="1">
      <protection locked="0" hidden="1"/>
    </xf>
    <xf numFmtId="0" fontId="24" fillId="3" borderId="41" xfId="0" applyFont="1" applyFill="1" applyBorder="1" applyAlignment="1" applyProtection="1">
      <alignment horizontal="center"/>
      <protection locked="0" hidden="1"/>
    </xf>
    <xf numFmtId="0" fontId="5" fillId="3" borderId="41" xfId="0" applyFont="1" applyFill="1" applyBorder="1" applyAlignment="1" applyProtection="1">
      <alignment horizontal="center"/>
      <protection locked="0" hidden="1"/>
    </xf>
    <xf numFmtId="0" fontId="0" fillId="3" borderId="41" xfId="0" applyFill="1" applyBorder="1" applyProtection="1">
      <protection locked="0"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left"/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0" fillId="6" borderId="0" xfId="0" applyNumberFormat="1" applyFill="1" applyAlignment="1" applyProtection="1">
      <alignment horizontal="center"/>
      <protection locked="0" hidden="1"/>
    </xf>
    <xf numFmtId="0" fontId="0" fillId="6" borderId="0" xfId="0" applyFill="1" applyAlignment="1" applyProtection="1">
      <alignment horizontal="center"/>
      <protection locked="0" hidden="1"/>
    </xf>
    <xf numFmtId="0" fontId="23" fillId="6" borderId="0" xfId="0" applyFont="1" applyFill="1" applyAlignment="1" applyProtection="1">
      <alignment vertical="center"/>
      <protection locked="0" hidden="1"/>
    </xf>
    <xf numFmtId="0" fontId="23" fillId="6" borderId="0" xfId="0" applyFont="1" applyFill="1" applyBorder="1" applyProtection="1">
      <protection locked="0" hidden="1"/>
    </xf>
    <xf numFmtId="0" fontId="5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0" fillId="6" borderId="0" xfId="0" applyFill="1" applyBorder="1" applyProtection="1">
      <protection hidden="1"/>
    </xf>
    <xf numFmtId="0" fontId="16" fillId="3" borderId="0" xfId="0" applyFont="1" applyFill="1" applyProtection="1">
      <protection hidden="1"/>
    </xf>
    <xf numFmtId="0" fontId="4" fillId="4" borderId="9" xfId="0" applyFont="1" applyFill="1" applyBorder="1" applyAlignment="1" applyProtection="1">
      <alignment vertical="center"/>
      <protection locked="0"/>
    </xf>
    <xf numFmtId="0" fontId="4" fillId="4" borderId="15" xfId="0" applyFont="1" applyFill="1" applyBorder="1" applyAlignment="1" applyProtection="1">
      <alignment vertical="center"/>
      <protection locked="0"/>
    </xf>
    <xf numFmtId="0" fontId="4" fillId="4" borderId="17" xfId="0" applyFont="1" applyFill="1" applyBorder="1" applyAlignment="1" applyProtection="1">
      <alignment vertical="center"/>
      <protection locked="0"/>
    </xf>
    <xf numFmtId="0" fontId="4" fillId="4" borderId="20" xfId="0" applyFont="1" applyFill="1" applyBorder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5" fillId="3" borderId="29" xfId="0" applyFont="1" applyFill="1" applyBorder="1" applyAlignment="1" applyProtection="1">
      <alignment horizontal="center" vertical="center"/>
      <protection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40" xfId="0" applyFont="1" applyFill="1" applyBorder="1" applyAlignment="1" applyProtection="1">
      <alignment horizontal="center" vertical="center"/>
      <protection locked="0" hidden="1"/>
    </xf>
    <xf numFmtId="0" fontId="4" fillId="4" borderId="48" xfId="0" applyFont="1" applyFill="1" applyBorder="1" applyAlignment="1" applyProtection="1">
      <alignment horizontal="center" vertical="center"/>
      <protection locked="0" hidden="1"/>
    </xf>
    <xf numFmtId="0" fontId="5" fillId="3" borderId="7" xfId="0" applyFont="1" applyFill="1" applyBorder="1" applyAlignment="1" applyProtection="1">
      <alignment horizontal="center" vertical="center"/>
      <protection hidden="1"/>
    </xf>
    <xf numFmtId="0" fontId="4" fillId="4" borderId="30" xfId="0" applyFont="1" applyFill="1" applyBorder="1" applyAlignment="1" applyProtection="1">
      <alignment horizontal="center" vertical="center"/>
      <protection locked="0" hidden="1"/>
    </xf>
    <xf numFmtId="0" fontId="4" fillId="4" borderId="49" xfId="0" applyFont="1" applyFill="1" applyBorder="1" applyAlignment="1" applyProtection="1">
      <alignment horizontal="center" vertical="center"/>
      <protection locked="0" hidden="1"/>
    </xf>
    <xf numFmtId="0" fontId="4" fillId="4" borderId="32" xfId="0" applyFont="1" applyFill="1" applyBorder="1" applyAlignment="1" applyProtection="1">
      <alignment horizontal="center" vertical="center"/>
      <protection locked="0" hidden="1"/>
    </xf>
    <xf numFmtId="0" fontId="4" fillId="4" borderId="50" xfId="0" applyFont="1" applyFill="1" applyBorder="1" applyAlignment="1" applyProtection="1">
      <alignment horizontal="center" vertical="center"/>
      <protection locked="0" hidden="1"/>
    </xf>
    <xf numFmtId="0" fontId="4" fillId="4" borderId="42" xfId="0" applyFont="1" applyFill="1" applyBorder="1" applyAlignment="1" applyProtection="1">
      <alignment horizontal="center" vertical="center"/>
      <protection locked="0" hidden="1"/>
    </xf>
    <xf numFmtId="0" fontId="4" fillId="4" borderId="6" xfId="0" applyFont="1" applyFill="1" applyBorder="1" applyAlignment="1" applyProtection="1">
      <alignment horizontal="center" vertical="center"/>
      <protection locked="0" hidden="1"/>
    </xf>
    <xf numFmtId="0" fontId="4" fillId="4" borderId="31" xfId="0" applyFont="1" applyFill="1" applyBorder="1" applyAlignment="1" applyProtection="1">
      <alignment horizontal="center" vertical="center"/>
      <protection locked="0" hidden="1"/>
    </xf>
    <xf numFmtId="0" fontId="4" fillId="4" borderId="26" xfId="0" applyFont="1" applyFill="1" applyBorder="1" applyAlignment="1" applyProtection="1">
      <alignment horizontal="center" vertical="center"/>
      <protection locked="0" hidden="1"/>
    </xf>
    <xf numFmtId="0" fontId="4" fillId="4" borderId="16" xfId="0" applyFont="1" applyFill="1" applyBorder="1" applyAlignment="1" applyProtection="1">
      <alignment horizontal="center" vertical="center"/>
      <protection locked="0" hidden="1"/>
    </xf>
    <xf numFmtId="0" fontId="4" fillId="4" borderId="19" xfId="0" applyFont="1" applyFill="1" applyBorder="1" applyAlignment="1" applyProtection="1">
      <alignment horizontal="center" vertical="center"/>
      <protection locked="0" hidden="1"/>
    </xf>
    <xf numFmtId="0" fontId="4" fillId="4" borderId="23" xfId="0" applyFont="1" applyFill="1" applyBorder="1" applyAlignment="1" applyProtection="1">
      <alignment horizontal="center" vertical="center"/>
      <protection locked="0" hidden="1"/>
    </xf>
    <xf numFmtId="0" fontId="4" fillId="5" borderId="47" xfId="0" applyFont="1" applyFill="1" applyBorder="1" applyAlignment="1" applyProtection="1">
      <alignment vertical="center"/>
      <protection hidden="1"/>
    </xf>
    <xf numFmtId="0" fontId="4" fillId="5" borderId="40" xfId="0" applyFont="1" applyFill="1" applyBorder="1" applyAlignment="1" applyProtection="1">
      <alignment vertical="center"/>
      <protection hidden="1"/>
    </xf>
    <xf numFmtId="0" fontId="4" fillId="5" borderId="48" xfId="0" applyFont="1" applyFill="1" applyBorder="1" applyAlignment="1" applyProtection="1">
      <alignment vertical="center"/>
      <protection hidden="1"/>
    </xf>
    <xf numFmtId="0" fontId="4" fillId="4" borderId="46" xfId="0" applyFont="1" applyFill="1" applyBorder="1" applyAlignment="1" applyProtection="1">
      <alignment horizontal="center" vertical="center"/>
      <protection locked="0" hidden="1"/>
    </xf>
    <xf numFmtId="0" fontId="4" fillId="4" borderId="41" xfId="0" applyFont="1" applyFill="1" applyBorder="1" applyAlignment="1" applyProtection="1">
      <alignment horizontal="center" vertical="center"/>
      <protection locked="0" hidden="1"/>
    </xf>
    <xf numFmtId="0" fontId="4" fillId="4" borderId="5" xfId="0" applyFont="1" applyFill="1" applyBorder="1" applyAlignment="1" applyProtection="1">
      <alignment horizontal="center" vertical="center"/>
      <protection locked="0" hidden="1"/>
    </xf>
    <xf numFmtId="0" fontId="24" fillId="3" borderId="46" xfId="0" applyFont="1" applyFill="1" applyBorder="1" applyAlignment="1" applyProtection="1">
      <alignment horizontal="center"/>
      <protection locked="0" hidden="1"/>
    </xf>
    <xf numFmtId="0" fontId="5" fillId="3" borderId="46" xfId="0" applyFont="1" applyFill="1" applyBorder="1" applyAlignment="1" applyProtection="1">
      <alignment horizontal="center"/>
      <protection locked="0"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0" fontId="0" fillId="6" borderId="45" xfId="0" applyFill="1" applyBorder="1" applyAlignment="1" applyProtection="1">
      <alignment horizontal="center" vertical="center"/>
      <protection locked="0" hidden="1"/>
    </xf>
    <xf numFmtId="0" fontId="0" fillId="3" borderId="29" xfId="0" applyFill="1" applyBorder="1" applyAlignment="1" applyProtection="1">
      <alignment horizontal="center" vertical="center"/>
      <protection hidden="1"/>
    </xf>
    <xf numFmtId="164" fontId="16" fillId="3" borderId="0" xfId="0" applyNumberFormat="1" applyFont="1" applyFill="1" applyBorder="1" applyAlignment="1" applyProtection="1">
      <alignment horizontal="center" vertical="center"/>
      <protection hidden="1"/>
    </xf>
    <xf numFmtId="0" fontId="17" fillId="3" borderId="12" xfId="0" applyFont="1" applyFill="1" applyBorder="1" applyAlignment="1" applyProtection="1">
      <alignment horizontal="center" vertical="top"/>
      <protection hidden="1"/>
    </xf>
    <xf numFmtId="0" fontId="17" fillId="3" borderId="51" xfId="0" applyFont="1" applyFill="1" applyBorder="1" applyAlignment="1" applyProtection="1">
      <protection hidden="1"/>
    </xf>
    <xf numFmtId="0" fontId="17" fillId="3" borderId="52" xfId="0" applyFont="1" applyFill="1" applyBorder="1" applyAlignment="1" applyProtection="1">
      <alignment vertical="center"/>
      <protection hidden="1"/>
    </xf>
    <xf numFmtId="0" fontId="17" fillId="3" borderId="33" xfId="0" applyFont="1" applyFill="1" applyBorder="1" applyAlignment="1" applyProtection="1">
      <protection hidden="1"/>
    </xf>
    <xf numFmtId="0" fontId="5" fillId="4" borderId="36" xfId="0" applyFont="1" applyFill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 applyProtection="1">
      <alignment horizontal="center" vertical="center"/>
      <protection hidden="1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38" xfId="0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18" fillId="3" borderId="37" xfId="0" applyFont="1" applyFill="1" applyBorder="1" applyAlignment="1" applyProtection="1">
      <alignment horizontal="center" vertical="center"/>
      <protection hidden="1"/>
    </xf>
    <xf numFmtId="0" fontId="5" fillId="4" borderId="53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54" xfId="0" applyFont="1" applyFill="1" applyBorder="1" applyAlignment="1" applyProtection="1">
      <alignment horizontal="center" vertical="center"/>
      <protection locked="0"/>
    </xf>
    <xf numFmtId="0" fontId="5" fillId="4" borderId="55" xfId="0" applyFont="1" applyFill="1" applyBorder="1" applyAlignment="1" applyProtection="1">
      <alignment horizontal="center" vertical="center"/>
      <protection locked="0"/>
    </xf>
    <xf numFmtId="0" fontId="0" fillId="3" borderId="56" xfId="0" applyFill="1" applyBorder="1" applyAlignment="1" applyProtection="1">
      <alignment horizontal="center" vertical="center"/>
      <protection hidden="1"/>
    </xf>
    <xf numFmtId="0" fontId="0" fillId="3" borderId="35" xfId="0" applyFill="1" applyBorder="1" applyAlignment="1" applyProtection="1">
      <alignment horizontal="center" vertical="center"/>
      <protection hidden="1"/>
    </xf>
    <xf numFmtId="0" fontId="0" fillId="3" borderId="54" xfId="0" applyFill="1" applyBorder="1" applyAlignment="1" applyProtection="1">
      <alignment horizontal="center" vertical="center"/>
      <protection hidden="1"/>
    </xf>
    <xf numFmtId="0" fontId="0" fillId="3" borderId="53" xfId="0" applyFill="1" applyBorder="1" applyAlignment="1" applyProtection="1">
      <alignment horizontal="center" vertical="center"/>
      <protection hidden="1"/>
    </xf>
    <xf numFmtId="0" fontId="18" fillId="3" borderId="56" xfId="0" applyFont="1" applyFill="1" applyBorder="1" applyAlignment="1" applyProtection="1">
      <alignment horizontal="center" vertical="center"/>
      <protection hidden="1"/>
    </xf>
    <xf numFmtId="0" fontId="18" fillId="3" borderId="35" xfId="0" applyFont="1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5" fillId="3" borderId="37" xfId="0" applyFont="1" applyFill="1" applyBorder="1" applyAlignment="1" applyProtection="1">
      <alignment horizontal="center" vertical="center"/>
      <protection hidden="1"/>
    </xf>
    <xf numFmtId="0" fontId="5" fillId="3" borderId="35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left" vertical="center"/>
      <protection locked="0"/>
    </xf>
    <xf numFmtId="0" fontId="17" fillId="3" borderId="0" xfId="0" applyFont="1" applyFill="1" applyBorder="1" applyAlignment="1" applyProtection="1">
      <alignment horizontal="righ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0" fontId="15" fillId="3" borderId="0" xfId="0" applyFont="1" applyFill="1" applyProtection="1">
      <protection hidden="1"/>
    </xf>
    <xf numFmtId="0" fontId="10" fillId="0" borderId="0" xfId="0" applyFont="1" applyBorder="1"/>
    <xf numFmtId="0" fontId="10" fillId="3" borderId="0" xfId="0" applyFont="1" applyFill="1"/>
    <xf numFmtId="0" fontId="10" fillId="3" borderId="0" xfId="0" applyFont="1" applyFill="1" applyBorder="1"/>
    <xf numFmtId="0" fontId="10" fillId="4" borderId="17" xfId="0" applyFont="1" applyFill="1" applyBorder="1" applyAlignment="1" applyProtection="1">
      <alignment horizontal="center" vertical="center"/>
      <protection locked="0" hidden="1"/>
    </xf>
    <xf numFmtId="0" fontId="10" fillId="4" borderId="22" xfId="0" applyFont="1" applyFill="1" applyBorder="1" applyAlignment="1" applyProtection="1">
      <alignment horizontal="center" vertical="center"/>
      <protection locked="0"/>
    </xf>
    <xf numFmtId="0" fontId="10" fillId="4" borderId="56" xfId="0" applyFont="1" applyFill="1" applyBorder="1" applyAlignment="1" applyProtection="1">
      <alignment horizontal="center" vertical="center"/>
      <protection locked="0"/>
    </xf>
    <xf numFmtId="0" fontId="5" fillId="4" borderId="54" xfId="0" applyFont="1" applyFill="1" applyBorder="1" applyAlignment="1" applyProtection="1">
      <alignment horizontal="center" vertical="center"/>
      <protection locked="0"/>
    </xf>
    <xf numFmtId="0" fontId="5" fillId="4" borderId="60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53" xfId="0" applyFont="1" applyFill="1" applyBorder="1" applyAlignment="1" applyProtection="1">
      <alignment horizontal="center" vertical="center"/>
      <protection locked="0"/>
    </xf>
    <xf numFmtId="0" fontId="5" fillId="4" borderId="59" xfId="0" applyFont="1" applyFill="1" applyBorder="1" applyAlignment="1" applyProtection="1">
      <alignment horizontal="center" vertical="center"/>
      <protection locked="0"/>
    </xf>
    <xf numFmtId="0" fontId="5" fillId="4" borderId="29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3" fillId="4" borderId="62" xfId="0" applyFont="1" applyFill="1" applyBorder="1" applyAlignment="1" applyProtection="1">
      <alignment horizontal="center" vertical="center"/>
      <protection hidden="1"/>
    </xf>
    <xf numFmtId="0" fontId="3" fillId="4" borderId="43" xfId="0" applyFont="1" applyFill="1" applyBorder="1" applyAlignment="1" applyProtection="1">
      <alignment horizontal="center" vertical="center"/>
      <protection hidden="1"/>
    </xf>
    <xf numFmtId="0" fontId="5" fillId="3" borderId="41" xfId="0" applyFont="1" applyFill="1" applyBorder="1" applyAlignment="1" applyProtection="1">
      <alignment horizontal="center"/>
      <protection hidden="1"/>
    </xf>
    <xf numFmtId="0" fontId="5" fillId="3" borderId="61" xfId="0" applyFont="1" applyFill="1" applyBorder="1" applyAlignment="1" applyProtection="1">
      <alignment horizontal="center"/>
      <protection hidden="1"/>
    </xf>
    <xf numFmtId="0" fontId="0" fillId="0" borderId="45" xfId="0" applyFill="1" applyBorder="1" applyAlignment="1" applyProtection="1">
      <alignment horizontal="left" vertical="center"/>
      <protection hidden="1"/>
    </xf>
    <xf numFmtId="0" fontId="0" fillId="0" borderId="10" xfId="0" applyFill="1" applyBorder="1" applyAlignment="1" applyProtection="1">
      <alignment horizontal="left" vertical="center"/>
      <protection hidden="1"/>
    </xf>
    <xf numFmtId="0" fontId="0" fillId="0" borderId="36" xfId="0" applyFill="1" applyBorder="1" applyAlignment="1" applyProtection="1">
      <alignment horizontal="left" vertical="center"/>
      <protection hidden="1"/>
    </xf>
    <xf numFmtId="0" fontId="5" fillId="4" borderId="63" xfId="0" applyFont="1" applyFill="1" applyBorder="1" applyAlignment="1" applyProtection="1">
      <alignment horizontal="center" vertical="center"/>
      <protection locked="0"/>
    </xf>
    <xf numFmtId="0" fontId="5" fillId="4" borderId="44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0" fillId="3" borderId="57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0" fillId="3" borderId="60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18" fillId="3" borderId="31" xfId="0" applyFont="1" applyFill="1" applyBorder="1" applyAlignment="1" applyProtection="1">
      <alignment horizontal="center" vertical="center"/>
      <protection hidden="1"/>
    </xf>
    <xf numFmtId="0" fontId="18" fillId="3" borderId="19" xfId="0" applyFont="1" applyFill="1" applyBorder="1" applyAlignment="1" applyProtection="1">
      <alignment horizontal="center" vertical="center"/>
      <protection hidden="1"/>
    </xf>
    <xf numFmtId="0" fontId="0" fillId="4" borderId="17" xfId="0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54" xfId="0" applyFill="1" applyBorder="1" applyAlignment="1" applyProtection="1">
      <alignment horizontal="left" vertical="center"/>
      <protection hidden="1"/>
    </xf>
    <xf numFmtId="0" fontId="0" fillId="0" borderId="53" xfId="0" applyFill="1" applyBorder="1" applyAlignment="1" applyProtection="1">
      <alignment horizontal="left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10" fillId="4" borderId="33" xfId="0" applyFont="1" applyFill="1" applyBorder="1" applyAlignment="1" applyProtection="1">
      <alignment horizontal="center" vertical="center"/>
      <protection locked="0"/>
    </xf>
    <xf numFmtId="0" fontId="5" fillId="3" borderId="57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0" fillId="0" borderId="2" xfId="0" applyFill="1" applyBorder="1" applyAlignment="1" applyProtection="1">
      <alignment horizontal="left" vertical="center"/>
      <protection hidden="1"/>
    </xf>
    <xf numFmtId="0" fontId="0" fillId="0" borderId="58" xfId="0" applyFill="1" applyBorder="1" applyAlignment="1" applyProtection="1">
      <alignment horizontal="left" vertical="center"/>
      <protection hidden="1"/>
    </xf>
    <xf numFmtId="0" fontId="18" fillId="3" borderId="26" xfId="0" applyFont="1" applyFill="1" applyBorder="1" applyAlignment="1" applyProtection="1">
      <alignment horizontal="center" vertical="center"/>
      <protection hidden="1"/>
    </xf>
    <xf numFmtId="0" fontId="18" fillId="3" borderId="21" xfId="0" applyFont="1" applyFill="1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horizontal="left" vertical="center"/>
      <protection hidden="1"/>
    </xf>
    <xf numFmtId="0" fontId="0" fillId="0" borderId="69" xfId="0" applyFill="1" applyBorder="1" applyAlignment="1" applyProtection="1">
      <alignment horizontal="left" vertical="center"/>
      <protection hidden="1"/>
    </xf>
    <xf numFmtId="0" fontId="0" fillId="0" borderId="48" xfId="0" applyFill="1" applyBorder="1" applyAlignment="1" applyProtection="1">
      <alignment horizontal="left" vertical="center"/>
      <protection hidden="1"/>
    </xf>
    <xf numFmtId="0" fontId="0" fillId="0" borderId="24" xfId="0" applyFill="1" applyBorder="1" applyAlignment="1" applyProtection="1">
      <alignment horizontal="left" vertical="center"/>
      <protection hidden="1"/>
    </xf>
    <xf numFmtId="0" fontId="0" fillId="3" borderId="59" xfId="0" applyFill="1" applyBorder="1" applyAlignment="1" applyProtection="1">
      <alignment horizontal="center" vertical="center"/>
      <protection hidden="1"/>
    </xf>
    <xf numFmtId="0" fontId="0" fillId="3" borderId="29" xfId="0" applyFill="1" applyBorder="1" applyAlignment="1" applyProtection="1">
      <alignment horizontal="center" vertical="center"/>
      <protection hidden="1"/>
    </xf>
    <xf numFmtId="0" fontId="0" fillId="4" borderId="40" xfId="0" applyFill="1" applyBorder="1" applyAlignment="1" applyProtection="1">
      <alignment horizontal="left"/>
      <protection locked="0"/>
    </xf>
    <xf numFmtId="0" fontId="0" fillId="4" borderId="41" xfId="0" applyFill="1" applyBorder="1" applyAlignment="1" applyProtection="1">
      <alignment horizontal="left"/>
      <protection locked="0"/>
    </xf>
    <xf numFmtId="0" fontId="0" fillId="4" borderId="61" xfId="0" applyFill="1" applyBorder="1" applyAlignment="1" applyProtection="1">
      <alignment horizontal="left"/>
      <protection locked="0"/>
    </xf>
    <xf numFmtId="14" fontId="10" fillId="4" borderId="40" xfId="0" applyNumberFormat="1" applyFont="1" applyFill="1" applyBorder="1" applyAlignment="1" applyProtection="1">
      <alignment horizontal="left" vertical="center"/>
      <protection locked="0"/>
    </xf>
    <xf numFmtId="0" fontId="10" fillId="4" borderId="41" xfId="0" applyFont="1" applyFill="1" applyBorder="1" applyAlignment="1" applyProtection="1">
      <alignment horizontal="left" vertical="center"/>
      <protection locked="0"/>
    </xf>
    <xf numFmtId="0" fontId="10" fillId="4" borderId="61" xfId="0" applyFont="1" applyFill="1" applyBorder="1" applyAlignment="1" applyProtection="1">
      <alignment horizontal="left" vertical="center"/>
      <protection locked="0"/>
    </xf>
    <xf numFmtId="0" fontId="10" fillId="4" borderId="40" xfId="0" applyFont="1" applyFill="1" applyBorder="1" applyAlignment="1" applyProtection="1">
      <alignment horizontal="left" vertical="center"/>
      <protection locked="0"/>
    </xf>
    <xf numFmtId="0" fontId="0" fillId="3" borderId="53" xfId="0" applyFill="1" applyBorder="1" applyAlignment="1" applyProtection="1">
      <alignment horizontal="center" vertical="center"/>
      <protection hidden="1"/>
    </xf>
    <xf numFmtId="0" fontId="18" fillId="3" borderId="14" xfId="0" applyFont="1" applyFill="1" applyBorder="1" applyAlignment="1" applyProtection="1">
      <alignment horizontal="center" vertical="center"/>
      <protection hidden="1"/>
    </xf>
    <xf numFmtId="0" fontId="18" fillId="3" borderId="67" xfId="0" applyFont="1" applyFill="1" applyBorder="1" applyAlignment="1" applyProtection="1">
      <alignment horizontal="center" vertical="center"/>
      <protection hidden="1"/>
    </xf>
    <xf numFmtId="0" fontId="18" fillId="3" borderId="71" xfId="0" applyFont="1" applyFill="1" applyBorder="1" applyAlignment="1" applyProtection="1">
      <alignment horizontal="center" vertical="center"/>
      <protection hidden="1"/>
    </xf>
    <xf numFmtId="0" fontId="18" fillId="3" borderId="68" xfId="0" applyFont="1" applyFill="1" applyBorder="1" applyAlignment="1" applyProtection="1">
      <alignment horizontal="center" vertical="center"/>
      <protection hidden="1"/>
    </xf>
    <xf numFmtId="0" fontId="0" fillId="3" borderId="35" xfId="0" applyFill="1" applyBorder="1" applyAlignment="1" applyProtection="1">
      <alignment horizontal="center" vertical="center"/>
      <protection hidden="1"/>
    </xf>
    <xf numFmtId="14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164" fontId="16" fillId="3" borderId="28" xfId="0" applyNumberFormat="1" applyFont="1" applyFill="1" applyBorder="1" applyAlignment="1" applyProtection="1">
      <alignment horizontal="center" vertical="center"/>
      <protection hidden="1"/>
    </xf>
    <xf numFmtId="164" fontId="16" fillId="3" borderId="43" xfId="0" applyNumberFormat="1" applyFont="1" applyFill="1" applyBorder="1" applyAlignment="1" applyProtection="1">
      <alignment horizontal="center" vertical="center"/>
      <protection hidden="1"/>
    </xf>
    <xf numFmtId="164" fontId="16" fillId="3" borderId="44" xfId="0" applyNumberFormat="1" applyFont="1" applyFill="1" applyBorder="1" applyAlignment="1" applyProtection="1">
      <alignment horizontal="center" vertical="center"/>
      <protection hidden="1"/>
    </xf>
    <xf numFmtId="0" fontId="5" fillId="3" borderId="40" xfId="0" applyFont="1" applyFill="1" applyBorder="1" applyAlignment="1" applyProtection="1">
      <alignment horizont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0" borderId="41" xfId="0" applyFill="1" applyBorder="1" applyAlignment="1" applyProtection="1">
      <alignment vertical="center"/>
      <protection hidden="1"/>
    </xf>
    <xf numFmtId="0" fontId="0" fillId="0" borderId="61" xfId="0" applyFill="1" applyBorder="1" applyAlignment="1" applyProtection="1">
      <alignment vertical="center"/>
      <protection hidden="1"/>
    </xf>
    <xf numFmtId="0" fontId="0" fillId="4" borderId="17" xfId="0" applyFill="1" applyBorder="1" applyProtection="1">
      <protection locked="0"/>
    </xf>
    <xf numFmtId="20" fontId="0" fillId="4" borderId="66" xfId="0" applyNumberFormat="1" applyFill="1" applyBorder="1" applyAlignment="1" applyProtection="1">
      <alignment horizontal="center" vertical="center"/>
      <protection locked="0"/>
    </xf>
    <xf numFmtId="0" fontId="0" fillId="4" borderId="64" xfId="0" applyFill="1" applyBorder="1" applyAlignment="1" applyProtection="1">
      <alignment horizontal="center" vertical="center"/>
      <protection locked="0"/>
    </xf>
    <xf numFmtId="0" fontId="0" fillId="4" borderId="65" xfId="0" applyFill="1" applyBorder="1" applyAlignment="1" applyProtection="1">
      <alignment horizontal="center" vertical="center"/>
      <protection locked="0"/>
    </xf>
    <xf numFmtId="0" fontId="0" fillId="4" borderId="47" xfId="0" applyFill="1" applyBorder="1" applyAlignment="1" applyProtection="1">
      <alignment horizontal="center" vertical="center"/>
      <protection locked="0"/>
    </xf>
    <xf numFmtId="0" fontId="0" fillId="4" borderId="46" xfId="0" applyFill="1" applyBorder="1" applyAlignment="1" applyProtection="1">
      <alignment horizontal="center" vertical="center"/>
      <protection locked="0"/>
    </xf>
    <xf numFmtId="0" fontId="0" fillId="4" borderId="70" xfId="0" applyFill="1" applyBorder="1" applyAlignment="1" applyProtection="1">
      <alignment horizontal="center" vertical="center"/>
      <protection locked="0"/>
    </xf>
    <xf numFmtId="0" fontId="0" fillId="3" borderId="54" xfId="0" applyFill="1" applyBorder="1" applyAlignment="1" applyProtection="1">
      <alignment horizontal="center" vertical="center"/>
      <protection hidden="1"/>
    </xf>
    <xf numFmtId="0" fontId="5" fillId="4" borderId="55" xfId="0" applyFont="1" applyFill="1" applyBorder="1" applyAlignment="1" applyProtection="1">
      <alignment horizontal="center" vertical="center"/>
      <protection locked="0"/>
    </xf>
    <xf numFmtId="0" fontId="0" fillId="3" borderId="56" xfId="0" applyFill="1" applyBorder="1" applyAlignment="1" applyProtection="1">
      <alignment horizontal="center" vertical="center"/>
      <protection hidden="1"/>
    </xf>
    <xf numFmtId="0" fontId="10" fillId="4" borderId="56" xfId="0" applyFont="1" applyFill="1" applyBorder="1" applyAlignment="1" applyProtection="1">
      <alignment horizontal="center" vertical="center"/>
      <protection locked="0"/>
    </xf>
    <xf numFmtId="0" fontId="5" fillId="3" borderId="35" xfId="0" applyFont="1" applyFill="1" applyBorder="1" applyAlignment="1" applyProtection="1">
      <alignment horizontal="center" vertical="center"/>
      <protection hidden="1"/>
    </xf>
    <xf numFmtId="0" fontId="0" fillId="0" borderId="46" xfId="0" applyFill="1" applyBorder="1" applyAlignment="1" applyProtection="1">
      <alignment horizontal="left" vertical="center"/>
      <protection hidden="1"/>
    </xf>
    <xf numFmtId="0" fontId="0" fillId="0" borderId="70" xfId="0" applyFill="1" applyBorder="1" applyAlignment="1" applyProtection="1">
      <alignment horizontal="left" vertical="center"/>
      <protection hidden="1"/>
    </xf>
    <xf numFmtId="0" fontId="0" fillId="0" borderId="47" xfId="0" applyFill="1" applyBorder="1" applyAlignment="1" applyProtection="1">
      <alignment horizontal="left" vertical="center"/>
      <protection hidden="1"/>
    </xf>
    <xf numFmtId="0" fontId="0" fillId="0" borderId="64" xfId="0" applyFill="1" applyBorder="1" applyAlignment="1" applyProtection="1">
      <alignment horizontal="left" vertical="center"/>
      <protection hidden="1"/>
    </xf>
    <xf numFmtId="0" fontId="0" fillId="0" borderId="65" xfId="0" applyFill="1" applyBorder="1" applyAlignment="1" applyProtection="1">
      <alignment horizontal="left" vertical="center"/>
      <protection hidden="1"/>
    </xf>
    <xf numFmtId="0" fontId="0" fillId="0" borderId="66" xfId="0" applyFill="1" applyBorder="1" applyAlignment="1" applyProtection="1">
      <alignment horizontal="left" vertical="center"/>
      <protection hidden="1"/>
    </xf>
    <xf numFmtId="0" fontId="0" fillId="3" borderId="52" xfId="0" applyFill="1" applyBorder="1" applyAlignment="1" applyProtection="1">
      <alignment horizontal="center"/>
      <protection hidden="1"/>
    </xf>
    <xf numFmtId="0" fontId="0" fillId="3" borderId="57" xfId="0" applyFill="1" applyBorder="1" applyAlignment="1" applyProtection="1">
      <alignment horizontal="center"/>
      <protection hidden="1"/>
    </xf>
    <xf numFmtId="0" fontId="10" fillId="3" borderId="59" xfId="0" applyFont="1" applyFill="1" applyBorder="1" applyAlignment="1" applyProtection="1">
      <alignment horizontal="center" vertical="center"/>
      <protection hidden="1"/>
    </xf>
    <xf numFmtId="0" fontId="10" fillId="3" borderId="62" xfId="0" applyFont="1" applyFill="1" applyBorder="1" applyAlignment="1" applyProtection="1">
      <alignment horizontal="center" vertical="center"/>
      <protection hidden="1"/>
    </xf>
    <xf numFmtId="0" fontId="10" fillId="3" borderId="60" xfId="0" applyFont="1" applyFill="1" applyBorder="1" applyAlignment="1" applyProtection="1">
      <alignment horizontal="center" vertical="center"/>
      <protection hidden="1"/>
    </xf>
    <xf numFmtId="0" fontId="10" fillId="3" borderId="29" xfId="0" applyFont="1" applyFill="1" applyBorder="1" applyAlignment="1" applyProtection="1">
      <alignment horizontal="center" vertical="center"/>
      <protection hidden="1"/>
    </xf>
    <xf numFmtId="0" fontId="10" fillId="3" borderId="43" xfId="0" applyFont="1" applyFill="1" applyBorder="1" applyAlignment="1" applyProtection="1">
      <alignment horizontal="center" vertical="center"/>
      <protection hidden="1"/>
    </xf>
    <xf numFmtId="0" fontId="10" fillId="3" borderId="11" xfId="0" applyFont="1" applyFill="1" applyBorder="1" applyAlignment="1" applyProtection="1">
      <alignment horizontal="center" vertical="center"/>
      <protection hidden="1"/>
    </xf>
    <xf numFmtId="0" fontId="0" fillId="3" borderId="62" xfId="0" applyFill="1" applyBorder="1" applyAlignment="1" applyProtection="1">
      <alignment horizontal="center" vertical="center"/>
      <protection hidden="1"/>
    </xf>
    <xf numFmtId="0" fontId="0" fillId="3" borderId="43" xfId="0" applyFill="1" applyBorder="1" applyAlignment="1" applyProtection="1">
      <alignment horizontal="center" vertical="center"/>
      <protection hidden="1"/>
    </xf>
    <xf numFmtId="0" fontId="0" fillId="4" borderId="40" xfId="0" applyFill="1" applyBorder="1" applyAlignment="1" applyProtection="1">
      <alignment horizontal="left" vertical="center"/>
      <protection locked="0"/>
    </xf>
    <xf numFmtId="0" fontId="0" fillId="4" borderId="41" xfId="0" applyFill="1" applyBorder="1" applyAlignment="1" applyProtection="1">
      <alignment horizontal="left" vertical="center"/>
      <protection locked="0"/>
    </xf>
    <xf numFmtId="0" fontId="0" fillId="4" borderId="61" xfId="0" applyFill="1" applyBorder="1" applyAlignment="1" applyProtection="1">
      <alignment horizontal="left" vertical="center"/>
      <protection locked="0"/>
    </xf>
    <xf numFmtId="0" fontId="0" fillId="3" borderId="62" xfId="0" applyFill="1" applyBorder="1" applyAlignment="1" applyProtection="1">
      <alignment horizontal="right" vertical="center"/>
      <protection hidden="1"/>
    </xf>
    <xf numFmtId="0" fontId="0" fillId="3" borderId="63" xfId="0" applyFill="1" applyBorder="1" applyAlignment="1" applyProtection="1">
      <alignment horizontal="right" vertical="center"/>
      <protection hidden="1"/>
    </xf>
    <xf numFmtId="0" fontId="0" fillId="3" borderId="67" xfId="0" applyFill="1" applyBorder="1" applyAlignment="1" applyProtection="1">
      <alignment horizontal="center" vertical="center"/>
      <protection hidden="1"/>
    </xf>
    <xf numFmtId="0" fontId="0" fillId="3" borderId="68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4" fillId="3" borderId="4" xfId="0" applyFont="1" applyFill="1" applyBorder="1" applyAlignment="1" applyProtection="1">
      <alignment horizontal="left" vertical="center"/>
      <protection hidden="1"/>
    </xf>
    <xf numFmtId="0" fontId="4" fillId="3" borderId="5" xfId="0" applyFont="1" applyFill="1" applyBorder="1" applyAlignment="1" applyProtection="1">
      <alignment horizontal="left" vertical="center"/>
      <protection hidden="1"/>
    </xf>
    <xf numFmtId="0" fontId="4" fillId="3" borderId="6" xfId="0" applyFont="1" applyFill="1" applyBorder="1" applyAlignment="1" applyProtection="1">
      <alignment horizontal="left" vertical="center"/>
      <protection hidden="1"/>
    </xf>
    <xf numFmtId="0" fontId="4" fillId="3" borderId="9" xfId="0" applyFont="1" applyFill="1" applyBorder="1" applyAlignment="1" applyProtection="1">
      <alignment horizontal="left" vertical="center"/>
      <protection hidden="1"/>
    </xf>
    <xf numFmtId="0" fontId="4" fillId="3" borderId="45" xfId="0" applyFont="1" applyFill="1" applyBorder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left" vertical="center"/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0" fontId="4" fillId="2" borderId="2" xfId="0" applyFont="1" applyFill="1" applyBorder="1" applyAlignment="1" applyProtection="1">
      <alignment horizontal="left" vertical="center"/>
      <protection hidden="1"/>
    </xf>
    <xf numFmtId="0" fontId="4" fillId="2" borderId="3" xfId="0" applyFont="1" applyFill="1" applyBorder="1" applyAlignment="1" applyProtection="1">
      <alignment horizontal="left" vertical="center"/>
      <protection hidden="1"/>
    </xf>
    <xf numFmtId="0" fontId="4" fillId="2" borderId="4" xfId="0" applyFont="1" applyFill="1" applyBorder="1" applyAlignment="1" applyProtection="1">
      <alignment horizontal="left" vertical="center"/>
      <protection hidden="1"/>
    </xf>
    <xf numFmtId="0" fontId="4" fillId="2" borderId="5" xfId="0" applyFont="1" applyFill="1" applyBorder="1" applyAlignment="1" applyProtection="1">
      <alignment horizontal="left" vertical="center"/>
      <protection hidden="1"/>
    </xf>
    <xf numFmtId="0" fontId="4" fillId="2" borderId="6" xfId="0" applyFont="1" applyFill="1" applyBorder="1" applyAlignment="1" applyProtection="1">
      <alignment horizontal="left" vertical="center"/>
      <protection hidden="1"/>
    </xf>
    <xf numFmtId="0" fontId="4" fillId="2" borderId="9" xfId="0" applyFont="1" applyFill="1" applyBorder="1" applyAlignment="1" applyProtection="1">
      <alignment horizontal="left" vertical="center"/>
      <protection hidden="1"/>
    </xf>
    <xf numFmtId="0" fontId="4" fillId="2" borderId="45" xfId="0" applyFont="1" applyFill="1" applyBorder="1" applyAlignment="1" applyProtection="1">
      <alignment horizontal="left" vertical="center"/>
      <protection hidden="1"/>
    </xf>
    <xf numFmtId="0" fontId="4" fillId="2" borderId="38" xfId="0" applyFont="1" applyFill="1" applyBorder="1" applyAlignment="1" applyProtection="1">
      <alignment horizontal="left" vertical="center"/>
      <protection hidden="1"/>
    </xf>
    <xf numFmtId="0" fontId="4" fillId="3" borderId="1" xfId="0" applyFont="1" applyFill="1" applyBorder="1" applyAlignment="1" applyProtection="1">
      <alignment horizontal="left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Protection="1">
      <protection hidden="1"/>
    </xf>
    <xf numFmtId="0" fontId="4" fillId="3" borderId="1" xfId="0" applyFont="1" applyFill="1" applyBorder="1" applyAlignment="1" applyProtection="1">
      <alignment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4" fillId="3" borderId="3" xfId="0" applyFont="1" applyFill="1" applyBorder="1" applyAlignment="1" applyProtection="1">
      <alignment vertical="center"/>
      <protection hidden="1"/>
    </xf>
    <xf numFmtId="0" fontId="4" fillId="2" borderId="9" xfId="0" applyFont="1" applyFill="1" applyBorder="1" applyAlignment="1" applyProtection="1">
      <alignment vertical="center"/>
      <protection hidden="1"/>
    </xf>
    <xf numFmtId="0" fontId="4" fillId="2" borderId="45" xfId="0" applyFont="1" applyFill="1" applyBorder="1" applyAlignment="1" applyProtection="1">
      <alignment vertical="center"/>
      <protection hidden="1"/>
    </xf>
    <xf numFmtId="0" fontId="4" fillId="2" borderId="38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4" fillId="3" borderId="45" xfId="0" applyFont="1" applyFill="1" applyBorder="1" applyAlignment="1" applyProtection="1">
      <alignment vertical="center"/>
      <protection hidden="1"/>
    </xf>
    <xf numFmtId="0" fontId="4" fillId="3" borderId="38" xfId="0" applyFont="1" applyFill="1" applyBorder="1" applyAlignment="1" applyProtection="1">
      <alignment vertical="center"/>
      <protection hidden="1"/>
    </xf>
    <xf numFmtId="0" fontId="0" fillId="3" borderId="1" xfId="0" applyFill="1" applyBorder="1" applyAlignment="1" applyProtection="1">
      <protection hidden="1"/>
    </xf>
    <xf numFmtId="0" fontId="0" fillId="3" borderId="2" xfId="0" applyFill="1" applyBorder="1" applyAlignment="1" applyProtection="1">
      <protection hidden="1"/>
    </xf>
    <xf numFmtId="0" fontId="0" fillId="3" borderId="3" xfId="0" applyFill="1" applyBorder="1" applyAlignment="1" applyProtection="1">
      <protection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0" fillId="2" borderId="1" xfId="0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4" fillId="3" borderId="1" xfId="0" applyFont="1" applyFill="1" applyBorder="1" applyAlignment="1" applyProtection="1">
      <alignment vertical="center"/>
      <protection locked="0" hidden="1"/>
    </xf>
    <xf numFmtId="0" fontId="4" fillId="3" borderId="2" xfId="0" applyFont="1" applyFill="1" applyBorder="1" applyAlignment="1" applyProtection="1">
      <alignment vertical="center"/>
      <protection locked="0" hidden="1"/>
    </xf>
    <xf numFmtId="0" fontId="4" fillId="3" borderId="3" xfId="0" applyFont="1" applyFill="1" applyBorder="1" applyAlignment="1" applyProtection="1">
      <alignment vertical="center"/>
      <protection locked="0" hidden="1"/>
    </xf>
    <xf numFmtId="0" fontId="4" fillId="3" borderId="4" xfId="0" applyFont="1" applyFill="1" applyBorder="1" applyAlignment="1" applyProtection="1">
      <alignment vertical="center"/>
      <protection locked="0" hidden="1"/>
    </xf>
    <xf numFmtId="0" fontId="4" fillId="3" borderId="5" xfId="0" applyFont="1" applyFill="1" applyBorder="1" applyAlignment="1" applyProtection="1">
      <alignment vertical="center"/>
      <protection locked="0" hidden="1"/>
    </xf>
    <xf numFmtId="0" fontId="4" fillId="3" borderId="6" xfId="0" applyFont="1" applyFill="1" applyBorder="1" applyAlignment="1" applyProtection="1">
      <alignment vertical="center"/>
      <protection locked="0" hidden="1"/>
    </xf>
    <xf numFmtId="0" fontId="4" fillId="2" borderId="1" xfId="0" applyFont="1" applyFill="1" applyBorder="1" applyAlignment="1" applyProtection="1">
      <alignment vertical="center"/>
      <protection locked="0" hidden="1"/>
    </xf>
    <xf numFmtId="0" fontId="4" fillId="2" borderId="2" xfId="0" applyFont="1" applyFill="1" applyBorder="1" applyAlignment="1" applyProtection="1">
      <alignment vertical="center"/>
      <protection locked="0" hidden="1"/>
    </xf>
    <xf numFmtId="0" fontId="4" fillId="2" borderId="3" xfId="0" applyFont="1" applyFill="1" applyBorder="1" applyAlignment="1" applyProtection="1">
      <alignment vertical="center"/>
      <protection locked="0" hidden="1"/>
    </xf>
    <xf numFmtId="0" fontId="4" fillId="2" borderId="4" xfId="0" applyFont="1" applyFill="1" applyBorder="1" applyAlignment="1" applyProtection="1">
      <alignment vertical="center"/>
      <protection locked="0" hidden="1"/>
    </xf>
    <xf numFmtId="0" fontId="4" fillId="2" borderId="5" xfId="0" applyFont="1" applyFill="1" applyBorder="1" applyAlignment="1" applyProtection="1">
      <alignment vertical="center"/>
      <protection locked="0" hidden="1"/>
    </xf>
    <xf numFmtId="0" fontId="4" fillId="2" borderId="6" xfId="0" applyFont="1" applyFill="1" applyBorder="1" applyAlignment="1" applyProtection="1">
      <alignment vertical="center"/>
      <protection locked="0" hidden="1"/>
    </xf>
  </cellXfs>
  <cellStyles count="2">
    <cellStyle name="Standard" xfId="0" builtinId="0"/>
    <cellStyle name="Standard 2" xfId="1"/>
  </cellStyles>
  <dxfs count="26">
    <dxf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1"/>
      </font>
      <fill>
        <patternFill>
          <bgColor indexed="41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0</xdr:row>
          <xdr:rowOff>152400</xdr:rowOff>
        </xdr:from>
        <xdr:to>
          <xdr:col>9</xdr:col>
          <xdr:colOff>209550</xdr:colOff>
          <xdr:row>3</xdr:row>
          <xdr:rowOff>180975</xdr:rowOff>
        </xdr:to>
        <xdr:sp macro="" textlink="">
          <xdr:nvSpPr>
            <xdr:cNvPr id="5126" name="loeschen_heim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0</xdr:row>
          <xdr:rowOff>152400</xdr:rowOff>
        </xdr:from>
        <xdr:to>
          <xdr:col>9</xdr:col>
          <xdr:colOff>209550</xdr:colOff>
          <xdr:row>3</xdr:row>
          <xdr:rowOff>180975</xdr:rowOff>
        </xdr:to>
        <xdr:sp macro="" textlink="">
          <xdr:nvSpPr>
            <xdr:cNvPr id="7169" name="loeschen_gas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0</xdr:rowOff>
        </xdr:from>
        <xdr:to>
          <xdr:col>8</xdr:col>
          <xdr:colOff>152400</xdr:colOff>
          <xdr:row>8</xdr:row>
          <xdr:rowOff>0</xdr:rowOff>
        </xdr:to>
        <xdr:sp macro="" textlink="">
          <xdr:nvSpPr>
            <xdr:cNvPr id="6151" name="Spielreihenfolge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85725</xdr:colOff>
      <xdr:row>12</xdr:row>
      <xdr:rowOff>95250</xdr:rowOff>
    </xdr:from>
    <xdr:to>
      <xdr:col>16</xdr:col>
      <xdr:colOff>95250</xdr:colOff>
      <xdr:row>12</xdr:row>
      <xdr:rowOff>95250</xdr:rowOff>
    </xdr:to>
    <xdr:sp macro="" textlink="">
      <xdr:nvSpPr>
        <xdr:cNvPr id="6152" name="Line 8"/>
        <xdr:cNvSpPr>
          <a:spLocks noChangeShapeType="1"/>
        </xdr:cNvSpPr>
      </xdr:nvSpPr>
      <xdr:spPr bwMode="auto">
        <a:xfrm>
          <a:off x="2143125" y="1714500"/>
          <a:ext cx="2867025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800100</xdr:colOff>
      <xdr:row>15</xdr:row>
      <xdr:rowOff>66675</xdr:rowOff>
    </xdr:from>
    <xdr:to>
      <xdr:col>1</xdr:col>
      <xdr:colOff>19050</xdr:colOff>
      <xdr:row>38</xdr:row>
      <xdr:rowOff>123825</xdr:rowOff>
    </xdr:to>
    <xdr:sp macro="" textlink="">
      <xdr:nvSpPr>
        <xdr:cNvPr id="6154" name="AutoShape 10"/>
        <xdr:cNvSpPr>
          <a:spLocks/>
        </xdr:cNvSpPr>
      </xdr:nvSpPr>
      <xdr:spPr bwMode="auto">
        <a:xfrm>
          <a:off x="800100" y="2257425"/>
          <a:ext cx="247650" cy="3781425"/>
        </a:xfrm>
        <a:prstGeom prst="leftBrace">
          <a:avLst>
            <a:gd name="adj1" fmla="val 127244"/>
            <a:gd name="adj2" fmla="val 50125"/>
          </a:avLst>
        </a:prstGeom>
        <a:noFill/>
        <a:ln w="28575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</xdr:row>
          <xdr:rowOff>19050</xdr:rowOff>
        </xdr:from>
        <xdr:to>
          <xdr:col>17</xdr:col>
          <xdr:colOff>190500</xdr:colOff>
          <xdr:row>8</xdr:row>
          <xdr:rowOff>9525</xdr:rowOff>
        </xdr:to>
        <xdr:sp macro="" textlink="">
          <xdr:nvSpPr>
            <xdr:cNvPr id="6156" name="Folge_eintragen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19050</xdr:colOff>
      <xdr:row>7</xdr:row>
      <xdr:rowOff>47625</xdr:rowOff>
    </xdr:from>
    <xdr:to>
      <xdr:col>16</xdr:col>
      <xdr:colOff>247650</xdr:colOff>
      <xdr:row>7</xdr:row>
      <xdr:rowOff>47625</xdr:rowOff>
    </xdr:to>
    <xdr:sp macro="" textlink="">
      <xdr:nvSpPr>
        <xdr:cNvPr id="6163" name="Line 19"/>
        <xdr:cNvSpPr>
          <a:spLocks noChangeShapeType="1"/>
        </xdr:cNvSpPr>
      </xdr:nvSpPr>
      <xdr:spPr bwMode="auto">
        <a:xfrm>
          <a:off x="3857625" y="857250"/>
          <a:ext cx="130492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12</xdr:col>
      <xdr:colOff>19050</xdr:colOff>
      <xdr:row>4</xdr:row>
      <xdr:rowOff>104775</xdr:rowOff>
    </xdr:from>
    <xdr:to>
      <xdr:col>12</xdr:col>
      <xdr:colOff>19050</xdr:colOff>
      <xdr:row>7</xdr:row>
      <xdr:rowOff>66675</xdr:rowOff>
    </xdr:to>
    <xdr:sp macro="" textlink="">
      <xdr:nvSpPr>
        <xdr:cNvPr id="6164" name="Line 20"/>
        <xdr:cNvSpPr>
          <a:spLocks noChangeShapeType="1"/>
        </xdr:cNvSpPr>
      </xdr:nvSpPr>
      <xdr:spPr bwMode="auto">
        <a:xfrm>
          <a:off x="3857625" y="428625"/>
          <a:ext cx="0" cy="44767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1019175</xdr:colOff>
      <xdr:row>7</xdr:row>
      <xdr:rowOff>57150</xdr:rowOff>
    </xdr:to>
    <xdr:pic>
      <xdr:nvPicPr>
        <xdr:cNvPr id="4100" name="Picture 4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621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628650</xdr:colOff>
      <xdr:row>3</xdr:row>
      <xdr:rowOff>57150</xdr:rowOff>
    </xdr:from>
    <xdr:to>
      <xdr:col>4</xdr:col>
      <xdr:colOff>219075</xdr:colOff>
      <xdr:row>3</xdr:row>
      <xdr:rowOff>190500</xdr:rowOff>
    </xdr:to>
    <xdr:sp macro="" textlink="">
      <xdr:nvSpPr>
        <xdr:cNvPr id="4107" name="AutoShape 11"/>
        <xdr:cNvSpPr>
          <a:spLocks noChangeArrowheads="1"/>
        </xdr:cNvSpPr>
      </xdr:nvSpPr>
      <xdr:spPr bwMode="auto">
        <a:xfrm>
          <a:off x="2495550" y="54292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</xdr:colOff>
      <xdr:row>31</xdr:row>
      <xdr:rowOff>85725</xdr:rowOff>
    </xdr:from>
    <xdr:to>
      <xdr:col>13</xdr:col>
      <xdr:colOff>209550</xdr:colOff>
      <xdr:row>32</xdr:row>
      <xdr:rowOff>0</xdr:rowOff>
    </xdr:to>
    <xdr:sp macro="" textlink="">
      <xdr:nvSpPr>
        <xdr:cNvPr id="4112" name="AutoShape 16"/>
        <xdr:cNvSpPr>
          <a:spLocks noChangeArrowheads="1"/>
        </xdr:cNvSpPr>
      </xdr:nvSpPr>
      <xdr:spPr bwMode="auto">
        <a:xfrm>
          <a:off x="519112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10</xdr:col>
      <xdr:colOff>28575</xdr:colOff>
      <xdr:row>31</xdr:row>
      <xdr:rowOff>85725</xdr:rowOff>
    </xdr:from>
    <xdr:to>
      <xdr:col>10</xdr:col>
      <xdr:colOff>180975</xdr:colOff>
      <xdr:row>32</xdr:row>
      <xdr:rowOff>0</xdr:rowOff>
    </xdr:to>
    <xdr:sp macro="" textlink="">
      <xdr:nvSpPr>
        <xdr:cNvPr id="4113" name="AutoShape 17"/>
        <xdr:cNvSpPr>
          <a:spLocks noChangeArrowheads="1"/>
        </xdr:cNvSpPr>
      </xdr:nvSpPr>
      <xdr:spPr bwMode="auto">
        <a:xfrm>
          <a:off x="465772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4</xdr:row>
      <xdr:rowOff>57150</xdr:rowOff>
    </xdr:from>
    <xdr:to>
      <xdr:col>4</xdr:col>
      <xdr:colOff>219075</xdr:colOff>
      <xdr:row>4</xdr:row>
      <xdr:rowOff>190500</xdr:rowOff>
    </xdr:to>
    <xdr:sp macro="" textlink="">
      <xdr:nvSpPr>
        <xdr:cNvPr id="4114" name="AutoShape 18"/>
        <xdr:cNvSpPr>
          <a:spLocks noChangeArrowheads="1"/>
        </xdr:cNvSpPr>
      </xdr:nvSpPr>
      <xdr:spPr bwMode="auto">
        <a:xfrm>
          <a:off x="2495550" y="762000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5</xdr:row>
      <xdr:rowOff>57150</xdr:rowOff>
    </xdr:from>
    <xdr:to>
      <xdr:col>4</xdr:col>
      <xdr:colOff>219075</xdr:colOff>
      <xdr:row>5</xdr:row>
      <xdr:rowOff>190500</xdr:rowOff>
    </xdr:to>
    <xdr:sp macro="" textlink="">
      <xdr:nvSpPr>
        <xdr:cNvPr id="4115" name="AutoShape 19"/>
        <xdr:cNvSpPr>
          <a:spLocks noChangeArrowheads="1"/>
        </xdr:cNvSpPr>
      </xdr:nvSpPr>
      <xdr:spPr bwMode="auto">
        <a:xfrm>
          <a:off x="2495550" y="98107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0</xdr:row>
      <xdr:rowOff>0</xdr:rowOff>
    </xdr:from>
    <xdr:to>
      <xdr:col>16</xdr:col>
      <xdr:colOff>171450</xdr:colOff>
      <xdr:row>5</xdr:row>
      <xdr:rowOff>95250</xdr:rowOff>
    </xdr:to>
    <xdr:pic>
      <xdr:nvPicPr>
        <xdr:cNvPr id="4116" name="Picture 20" descr="badminton_c_eV_WEB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0"/>
          <a:ext cx="1409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285750</xdr:colOff>
          <xdr:row>0</xdr:row>
          <xdr:rowOff>85725</xdr:rowOff>
        </xdr:from>
        <xdr:to>
          <xdr:col>30</xdr:col>
          <xdr:colOff>123825</xdr:colOff>
          <xdr:row>4</xdr:row>
          <xdr:rowOff>133350</xdr:rowOff>
        </xdr:to>
        <xdr:sp macro="" textlink="">
          <xdr:nvSpPr>
            <xdr:cNvPr id="4118" name="loeschen_Spielberich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4337" name="Oval 1"/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4338" name="AutoShape 2"/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4339" name="AutoShape 3"/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4340" name="AutoShape 4"/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41" name="Oval 5"/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42" name="AutoShape 6"/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43" name="AutoShape 7"/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44" name="AutoShape 8"/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153</xdr:row>
      <xdr:rowOff>158750</xdr:rowOff>
    </xdr:from>
    <xdr:to>
      <xdr:col>2</xdr:col>
      <xdr:colOff>819150</xdr:colOff>
      <xdr:row>154</xdr:row>
      <xdr:rowOff>141705</xdr:rowOff>
    </xdr:to>
    <xdr:sp macro="" textlink="" fLocksText="0">
      <xdr:nvSpPr>
        <xdr:cNvPr id="14345" name="Oval 9"/>
        <xdr:cNvSpPr>
          <a:spLocks noChangeArrowheads="1"/>
        </xdr:cNvSpPr>
      </xdr:nvSpPr>
      <xdr:spPr bwMode="auto">
        <a:xfrm rot="-1655575">
          <a:off x="1228725" y="292417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152</xdr:row>
      <xdr:rowOff>82550</xdr:rowOff>
    </xdr:from>
    <xdr:to>
      <xdr:col>2</xdr:col>
      <xdr:colOff>809625</xdr:colOff>
      <xdr:row>153</xdr:row>
      <xdr:rowOff>282168</xdr:rowOff>
    </xdr:to>
    <xdr:sp macro="" textlink="">
      <xdr:nvSpPr>
        <xdr:cNvPr id="14346" name="AutoShape 10"/>
        <xdr:cNvSpPr>
          <a:spLocks noChangeArrowheads="1"/>
        </xdr:cNvSpPr>
      </xdr:nvSpPr>
      <xdr:spPr bwMode="auto">
        <a:xfrm rot="-1651991">
          <a:off x="1000125" y="289560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152</xdr:row>
      <xdr:rowOff>168275</xdr:rowOff>
    </xdr:from>
    <xdr:to>
      <xdr:col>2</xdr:col>
      <xdr:colOff>838200</xdr:colOff>
      <xdr:row>154</xdr:row>
      <xdr:rowOff>6350</xdr:rowOff>
    </xdr:to>
    <xdr:sp macro="" textlink="">
      <xdr:nvSpPr>
        <xdr:cNvPr id="14347" name="AutoShape 11"/>
        <xdr:cNvSpPr>
          <a:spLocks noChangeArrowheads="1"/>
        </xdr:cNvSpPr>
      </xdr:nvSpPr>
      <xdr:spPr bwMode="auto">
        <a:xfrm rot="-1651991">
          <a:off x="1009650" y="290417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153</xdr:row>
      <xdr:rowOff>44450</xdr:rowOff>
    </xdr:from>
    <xdr:to>
      <xdr:col>2</xdr:col>
      <xdr:colOff>857250</xdr:colOff>
      <xdr:row>153</xdr:row>
      <xdr:rowOff>316706</xdr:rowOff>
    </xdr:to>
    <xdr:sp macro="" textlink="">
      <xdr:nvSpPr>
        <xdr:cNvPr id="14348" name="AutoShape 12"/>
        <xdr:cNvSpPr>
          <a:spLocks noChangeArrowheads="1"/>
        </xdr:cNvSpPr>
      </xdr:nvSpPr>
      <xdr:spPr bwMode="auto">
        <a:xfrm rot="-1651991">
          <a:off x="1047750" y="291274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191</xdr:row>
      <xdr:rowOff>161925</xdr:rowOff>
    </xdr:from>
    <xdr:to>
      <xdr:col>2</xdr:col>
      <xdr:colOff>819150</xdr:colOff>
      <xdr:row>192</xdr:row>
      <xdr:rowOff>149225</xdr:rowOff>
    </xdr:to>
    <xdr:sp macro="" textlink="" fLocksText="0">
      <xdr:nvSpPr>
        <xdr:cNvPr id="14349" name="Oval 13"/>
        <xdr:cNvSpPr>
          <a:spLocks noChangeArrowheads="1"/>
        </xdr:cNvSpPr>
      </xdr:nvSpPr>
      <xdr:spPr bwMode="auto">
        <a:xfrm rot="-1655575">
          <a:off x="1228725" y="363283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190</xdr:row>
      <xdr:rowOff>92075</xdr:rowOff>
    </xdr:from>
    <xdr:to>
      <xdr:col>2</xdr:col>
      <xdr:colOff>809625</xdr:colOff>
      <xdr:row>191</xdr:row>
      <xdr:rowOff>285750</xdr:rowOff>
    </xdr:to>
    <xdr:sp macro="" textlink="">
      <xdr:nvSpPr>
        <xdr:cNvPr id="14350" name="AutoShape 14"/>
        <xdr:cNvSpPr>
          <a:spLocks noChangeArrowheads="1"/>
        </xdr:cNvSpPr>
      </xdr:nvSpPr>
      <xdr:spPr bwMode="auto">
        <a:xfrm rot="-1651991">
          <a:off x="1000125" y="360426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190</xdr:row>
      <xdr:rowOff>177800</xdr:rowOff>
    </xdr:from>
    <xdr:to>
      <xdr:col>2</xdr:col>
      <xdr:colOff>838200</xdr:colOff>
      <xdr:row>192</xdr:row>
      <xdr:rowOff>15875</xdr:rowOff>
    </xdr:to>
    <xdr:sp macro="" textlink="">
      <xdr:nvSpPr>
        <xdr:cNvPr id="14351" name="AutoShape 15"/>
        <xdr:cNvSpPr>
          <a:spLocks noChangeArrowheads="1"/>
        </xdr:cNvSpPr>
      </xdr:nvSpPr>
      <xdr:spPr bwMode="auto">
        <a:xfrm rot="-1651991">
          <a:off x="1009650" y="361283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191</xdr:row>
      <xdr:rowOff>47625</xdr:rowOff>
    </xdr:from>
    <xdr:to>
      <xdr:col>2</xdr:col>
      <xdr:colOff>857250</xdr:colOff>
      <xdr:row>192</xdr:row>
      <xdr:rowOff>6350</xdr:rowOff>
    </xdr:to>
    <xdr:sp macro="" textlink="">
      <xdr:nvSpPr>
        <xdr:cNvPr id="14352" name="AutoShape 16"/>
        <xdr:cNvSpPr>
          <a:spLocks noChangeArrowheads="1"/>
        </xdr:cNvSpPr>
      </xdr:nvSpPr>
      <xdr:spPr bwMode="auto">
        <a:xfrm rot="-1651991">
          <a:off x="1047750" y="362140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57" name="Oval 21"/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58" name="AutoShape 22"/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59" name="AutoShape 23"/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60" name="AutoShape 24"/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229</xdr:row>
      <xdr:rowOff>161925</xdr:rowOff>
    </xdr:from>
    <xdr:to>
      <xdr:col>2</xdr:col>
      <xdr:colOff>819150</xdr:colOff>
      <xdr:row>230</xdr:row>
      <xdr:rowOff>139700</xdr:rowOff>
    </xdr:to>
    <xdr:sp macro="" textlink="" fLocksText="0">
      <xdr:nvSpPr>
        <xdr:cNvPr id="14373" name="Oval 37"/>
        <xdr:cNvSpPr>
          <a:spLocks noChangeArrowheads="1"/>
        </xdr:cNvSpPr>
      </xdr:nvSpPr>
      <xdr:spPr bwMode="auto">
        <a:xfrm rot="-1655575">
          <a:off x="1228725" y="4332922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228</xdr:row>
      <xdr:rowOff>82550</xdr:rowOff>
    </xdr:from>
    <xdr:to>
      <xdr:col>2</xdr:col>
      <xdr:colOff>809625</xdr:colOff>
      <xdr:row>229</xdr:row>
      <xdr:rowOff>285750</xdr:rowOff>
    </xdr:to>
    <xdr:sp macro="" textlink="">
      <xdr:nvSpPr>
        <xdr:cNvPr id="14374" name="AutoShape 38"/>
        <xdr:cNvSpPr>
          <a:spLocks noChangeArrowheads="1"/>
        </xdr:cNvSpPr>
      </xdr:nvSpPr>
      <xdr:spPr bwMode="auto">
        <a:xfrm rot="-1651991">
          <a:off x="1000125" y="4304347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228</xdr:row>
      <xdr:rowOff>168275</xdr:rowOff>
    </xdr:from>
    <xdr:to>
      <xdr:col>2</xdr:col>
      <xdr:colOff>838200</xdr:colOff>
      <xdr:row>230</xdr:row>
      <xdr:rowOff>6350</xdr:rowOff>
    </xdr:to>
    <xdr:sp macro="" textlink="">
      <xdr:nvSpPr>
        <xdr:cNvPr id="14375" name="AutoShape 39"/>
        <xdr:cNvSpPr>
          <a:spLocks noChangeArrowheads="1"/>
        </xdr:cNvSpPr>
      </xdr:nvSpPr>
      <xdr:spPr bwMode="auto">
        <a:xfrm rot="-1651991">
          <a:off x="1009650" y="4312920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229</xdr:row>
      <xdr:rowOff>47625</xdr:rowOff>
    </xdr:from>
    <xdr:to>
      <xdr:col>2</xdr:col>
      <xdr:colOff>857250</xdr:colOff>
      <xdr:row>229</xdr:row>
      <xdr:rowOff>314325</xdr:rowOff>
    </xdr:to>
    <xdr:sp macro="" textlink="">
      <xdr:nvSpPr>
        <xdr:cNvPr id="14376" name="AutoShape 40"/>
        <xdr:cNvSpPr>
          <a:spLocks noChangeArrowheads="1"/>
        </xdr:cNvSpPr>
      </xdr:nvSpPr>
      <xdr:spPr bwMode="auto">
        <a:xfrm rot="-1651991">
          <a:off x="1047750" y="4321492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1" name="Oval 65"/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2" name="AutoShape 66"/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3" name="AutoShape 67"/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4" name="AutoShape 68"/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5" name="Oval 69"/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6" name="AutoShape 70"/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7" name="AutoShape 71"/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8" name="AutoShape 72"/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</xdr:row>
          <xdr:rowOff>200025</xdr:rowOff>
        </xdr:from>
        <xdr:to>
          <xdr:col>44</xdr:col>
          <xdr:colOff>180975</xdr:colOff>
          <xdr:row>3</xdr:row>
          <xdr:rowOff>200025</xdr:rowOff>
        </xdr:to>
        <xdr:sp macro="" textlink="">
          <xdr:nvSpPr>
            <xdr:cNvPr id="2097" name="drucken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8</xdr:row>
          <xdr:rowOff>28575</xdr:rowOff>
        </xdr:from>
        <xdr:to>
          <xdr:col>44</xdr:col>
          <xdr:colOff>209550</xdr:colOff>
          <xdr:row>9</xdr:row>
          <xdr:rowOff>38100</xdr:rowOff>
        </xdr:to>
        <xdr:sp macro="" textlink="">
          <xdr:nvSpPr>
            <xdr:cNvPr id="2099" name="HE_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12</xdr:row>
          <xdr:rowOff>76200</xdr:rowOff>
        </xdr:from>
        <xdr:to>
          <xdr:col>44</xdr:col>
          <xdr:colOff>209550</xdr:colOff>
          <xdr:row>14</xdr:row>
          <xdr:rowOff>9525</xdr:rowOff>
        </xdr:to>
        <xdr:sp macro="" textlink="">
          <xdr:nvSpPr>
            <xdr:cNvPr id="2101" name="HE_2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4</xdr:row>
          <xdr:rowOff>114300</xdr:rowOff>
        </xdr:from>
        <xdr:to>
          <xdr:col>44</xdr:col>
          <xdr:colOff>200025</xdr:colOff>
          <xdr:row>5</xdr:row>
          <xdr:rowOff>161925</xdr:rowOff>
        </xdr:to>
        <xdr:sp macro="" textlink="">
          <xdr:nvSpPr>
            <xdr:cNvPr id="2103" name="HD_1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6</xdr:row>
          <xdr:rowOff>228600</xdr:rowOff>
        </xdr:from>
        <xdr:to>
          <xdr:col>44</xdr:col>
          <xdr:colOff>209550</xdr:colOff>
          <xdr:row>8</xdr:row>
          <xdr:rowOff>0</xdr:rowOff>
        </xdr:to>
        <xdr:sp macro="" textlink="">
          <xdr:nvSpPr>
            <xdr:cNvPr id="2104" name="HD_2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10</xdr:row>
          <xdr:rowOff>161925</xdr:rowOff>
        </xdr:from>
        <xdr:to>
          <xdr:col>44</xdr:col>
          <xdr:colOff>209550</xdr:colOff>
          <xdr:row>12</xdr:row>
          <xdr:rowOff>47625</xdr:rowOff>
        </xdr:to>
        <xdr:sp macro="" textlink="">
          <xdr:nvSpPr>
            <xdr:cNvPr id="2105" name="XD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9</xdr:row>
          <xdr:rowOff>66675</xdr:rowOff>
        </xdr:from>
        <xdr:to>
          <xdr:col>44</xdr:col>
          <xdr:colOff>209550</xdr:colOff>
          <xdr:row>10</xdr:row>
          <xdr:rowOff>133350</xdr:rowOff>
        </xdr:to>
        <xdr:sp macro="" textlink="">
          <xdr:nvSpPr>
            <xdr:cNvPr id="2106" name="DE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5</xdr:row>
          <xdr:rowOff>190500</xdr:rowOff>
        </xdr:from>
        <xdr:to>
          <xdr:col>44</xdr:col>
          <xdr:colOff>209550</xdr:colOff>
          <xdr:row>6</xdr:row>
          <xdr:rowOff>200025</xdr:rowOff>
        </xdr:to>
        <xdr:sp macro="" textlink="">
          <xdr:nvSpPr>
            <xdr:cNvPr id="2107" name="DD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638175</xdr:colOff>
      <xdr:row>39</xdr:row>
      <xdr:rowOff>158750</xdr:rowOff>
    </xdr:from>
    <xdr:to>
      <xdr:col>2</xdr:col>
      <xdr:colOff>819150</xdr:colOff>
      <xdr:row>40</xdr:row>
      <xdr:rowOff>139700</xdr:rowOff>
    </xdr:to>
    <xdr:sp macro="" textlink="" fLocksText="0">
      <xdr:nvSpPr>
        <xdr:cNvPr id="2" name="Oval 1"/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38</xdr:row>
      <xdr:rowOff>82550</xdr:rowOff>
    </xdr:from>
    <xdr:to>
      <xdr:col>2</xdr:col>
      <xdr:colOff>809625</xdr:colOff>
      <xdr:row>39</xdr:row>
      <xdr:rowOff>282575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38</xdr:row>
      <xdr:rowOff>168275</xdr:rowOff>
    </xdr:from>
    <xdr:to>
      <xdr:col>2</xdr:col>
      <xdr:colOff>838200</xdr:colOff>
      <xdr:row>40</xdr:row>
      <xdr:rowOff>6350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39</xdr:row>
      <xdr:rowOff>44450</xdr:rowOff>
    </xdr:from>
    <xdr:to>
      <xdr:col>2</xdr:col>
      <xdr:colOff>857250</xdr:colOff>
      <xdr:row>39</xdr:row>
      <xdr:rowOff>314325</xdr:rowOff>
    </xdr:to>
    <xdr:sp macro="" textlink="">
      <xdr:nvSpPr>
        <xdr:cNvPr id="5" name="AutoShape 4"/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29</xdr:col>
      <xdr:colOff>38100</xdr:colOff>
      <xdr:row>0</xdr:row>
      <xdr:rowOff>0</xdr:rowOff>
    </xdr:from>
    <xdr:to>
      <xdr:col>35</xdr:col>
      <xdr:colOff>142875</xdr:colOff>
      <xdr:row>4</xdr:row>
      <xdr:rowOff>9525</xdr:rowOff>
    </xdr:to>
    <xdr:pic>
      <xdr:nvPicPr>
        <xdr:cNvPr id="2116" name="Picture 68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38</xdr:row>
      <xdr:rowOff>9525</xdr:rowOff>
    </xdr:from>
    <xdr:to>
      <xdr:col>36</xdr:col>
      <xdr:colOff>28575</xdr:colOff>
      <xdr:row>42</xdr:row>
      <xdr:rowOff>19050</xdr:rowOff>
    </xdr:to>
    <xdr:pic>
      <xdr:nvPicPr>
        <xdr:cNvPr id="2117" name="Picture 69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72866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76</xdr:row>
      <xdr:rowOff>28575</xdr:rowOff>
    </xdr:from>
    <xdr:to>
      <xdr:col>36</xdr:col>
      <xdr:colOff>28575</xdr:colOff>
      <xdr:row>80</xdr:row>
      <xdr:rowOff>38100</xdr:rowOff>
    </xdr:to>
    <xdr:pic>
      <xdr:nvPicPr>
        <xdr:cNvPr id="2118" name="Picture 70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4620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85725</xdr:colOff>
      <xdr:row>114</xdr:row>
      <xdr:rowOff>28575</xdr:rowOff>
    </xdr:from>
    <xdr:to>
      <xdr:col>35</xdr:col>
      <xdr:colOff>190500</xdr:colOff>
      <xdr:row>118</xdr:row>
      <xdr:rowOff>38100</xdr:rowOff>
    </xdr:to>
    <xdr:pic>
      <xdr:nvPicPr>
        <xdr:cNvPr id="2119" name="Picture 71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21859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76200</xdr:colOff>
      <xdr:row>152</xdr:row>
      <xdr:rowOff>28575</xdr:rowOff>
    </xdr:from>
    <xdr:to>
      <xdr:col>35</xdr:col>
      <xdr:colOff>180975</xdr:colOff>
      <xdr:row>156</xdr:row>
      <xdr:rowOff>38100</xdr:rowOff>
    </xdr:to>
    <xdr:pic>
      <xdr:nvPicPr>
        <xdr:cNvPr id="2120" name="Picture 72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1375" y="29098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104775</xdr:colOff>
      <xdr:row>190</xdr:row>
      <xdr:rowOff>28575</xdr:rowOff>
    </xdr:from>
    <xdr:to>
      <xdr:col>35</xdr:col>
      <xdr:colOff>209550</xdr:colOff>
      <xdr:row>194</xdr:row>
      <xdr:rowOff>38100</xdr:rowOff>
    </xdr:to>
    <xdr:pic>
      <xdr:nvPicPr>
        <xdr:cNvPr id="2121" name="Picture 73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36337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114300</xdr:colOff>
      <xdr:row>228</xdr:row>
      <xdr:rowOff>9525</xdr:rowOff>
    </xdr:from>
    <xdr:to>
      <xdr:col>36</xdr:col>
      <xdr:colOff>0</xdr:colOff>
      <xdr:row>232</xdr:row>
      <xdr:rowOff>19050</xdr:rowOff>
    </xdr:to>
    <xdr:pic>
      <xdr:nvPicPr>
        <xdr:cNvPr id="2122" name="Picture 74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9475" y="435578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3313" name="Oval 1"/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3314" name="AutoShape 2"/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3315" name="AutoShape 3"/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3316" name="AutoShape 4"/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31</xdr:col>
      <xdr:colOff>95250</xdr:colOff>
      <xdr:row>0</xdr:row>
      <xdr:rowOff>0</xdr:rowOff>
    </xdr:from>
    <xdr:to>
      <xdr:col>37</xdr:col>
      <xdr:colOff>200025</xdr:colOff>
      <xdr:row>3</xdr:row>
      <xdr:rowOff>238125</xdr:rowOff>
    </xdr:to>
    <xdr:pic>
      <xdr:nvPicPr>
        <xdr:cNvPr id="3079" name="Picture 7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2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10.xml"/><Relationship Id="rId17" Type="http://schemas.openxmlformats.org/officeDocument/2006/relationships/image" Target="../media/image1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9.xml"/><Relationship Id="rId19" Type="http://schemas.openxmlformats.org/officeDocument/2006/relationships/image" Target="../media/image15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B51"/>
  <sheetViews>
    <sheetView topLeftCell="A13" workbookViewId="0">
      <selection activeCell="B1" sqref="B1"/>
    </sheetView>
  </sheetViews>
  <sheetFormatPr baseColWidth="10" defaultRowHeight="12.75"/>
  <cols>
    <col min="1" max="1" width="2.85546875" style="12" customWidth="1"/>
    <col min="2" max="2" width="80.5703125" style="12" customWidth="1"/>
    <col min="3" max="16384" width="11.42578125" style="12"/>
  </cols>
  <sheetData>
    <row r="1" spans="2:2" ht="15.75">
      <c r="B1" s="187" t="s">
        <v>97</v>
      </c>
    </row>
    <row r="3" spans="2:2">
      <c r="B3" s="12" t="s">
        <v>70</v>
      </c>
    </row>
    <row r="5" spans="2:2">
      <c r="B5" s="12" t="s">
        <v>98</v>
      </c>
    </row>
    <row r="6" spans="2:2">
      <c r="B6" s="12" t="s">
        <v>99</v>
      </c>
    </row>
    <row r="9" spans="2:2" ht="15.75">
      <c r="B9" s="187" t="s">
        <v>66</v>
      </c>
    </row>
    <row r="10" spans="2:2" ht="15.75">
      <c r="B10" s="187"/>
    </row>
    <row r="11" spans="2:2">
      <c r="B11" s="97" t="s">
        <v>103</v>
      </c>
    </row>
    <row r="13" spans="2:2">
      <c r="B13" s="12" t="s">
        <v>101</v>
      </c>
    </row>
    <row r="15" spans="2:2">
      <c r="B15" s="12" t="s">
        <v>87</v>
      </c>
    </row>
    <row r="16" spans="2:2">
      <c r="B16" s="12" t="s">
        <v>86</v>
      </c>
    </row>
    <row r="18" spans="2:2">
      <c r="B18" s="12" t="s">
        <v>71</v>
      </c>
    </row>
    <row r="20" spans="2:2">
      <c r="B20" s="12" t="s">
        <v>67</v>
      </c>
    </row>
    <row r="21" spans="2:2">
      <c r="B21" s="12" t="s">
        <v>68</v>
      </c>
    </row>
    <row r="23" spans="2:2">
      <c r="B23" s="12" t="s">
        <v>104</v>
      </c>
    </row>
    <row r="24" spans="2:2">
      <c r="B24" s="12" t="s">
        <v>105</v>
      </c>
    </row>
    <row r="25" spans="2:2">
      <c r="B25" s="12" t="s">
        <v>88</v>
      </c>
    </row>
    <row r="27" spans="2:2">
      <c r="B27" s="12" t="s">
        <v>102</v>
      </c>
    </row>
    <row r="30" spans="2:2" ht="15.75">
      <c r="B30" s="187" t="s">
        <v>69</v>
      </c>
    </row>
    <row r="32" spans="2:2">
      <c r="B32" s="12" t="s">
        <v>106</v>
      </c>
    </row>
    <row r="33" spans="2:2">
      <c r="B33" s="12" t="s">
        <v>107</v>
      </c>
    </row>
    <row r="34" spans="2:2">
      <c r="B34" s="12" t="s">
        <v>108</v>
      </c>
    </row>
    <row r="37" spans="2:2" ht="15.75">
      <c r="B37" s="187" t="s">
        <v>40</v>
      </c>
    </row>
    <row r="39" spans="2:2">
      <c r="B39" s="12" t="s">
        <v>100</v>
      </c>
    </row>
    <row r="41" spans="2:2">
      <c r="B41" s="12" t="s">
        <v>72</v>
      </c>
    </row>
    <row r="44" spans="2:2" ht="15.75">
      <c r="B44" s="187" t="s">
        <v>73</v>
      </c>
    </row>
    <row r="46" spans="2:2">
      <c r="B46" s="12" t="s">
        <v>75</v>
      </c>
    </row>
    <row r="49" spans="2:2">
      <c r="B49" s="69" t="s">
        <v>76</v>
      </c>
    </row>
    <row r="51" spans="2:2">
      <c r="B51" s="12" t="s">
        <v>74</v>
      </c>
    </row>
  </sheetData>
  <sheetProtection password="D141" sheet="1" objects="1" scenarios="1"/>
  <phoneticPr fontId="0" type="noConversion"/>
  <pageMargins left="0.67" right="0.78740157499999996" top="0.984251969" bottom="0.68" header="0.4921259845" footer="0.492125984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I31"/>
  <sheetViews>
    <sheetView workbookViewId="0">
      <selection activeCell="E21" sqref="E21"/>
    </sheetView>
  </sheetViews>
  <sheetFormatPr baseColWidth="10" defaultRowHeight="14.25"/>
  <cols>
    <col min="1" max="1" width="3.7109375" style="50" customWidth="1"/>
    <col min="2" max="2" width="31.5703125" style="12" customWidth="1"/>
    <col min="3" max="3" width="2.7109375" style="12" customWidth="1"/>
    <col min="4" max="8" width="5.28515625" style="12" customWidth="1"/>
    <col min="9" max="9" width="6.7109375" style="12" customWidth="1"/>
    <col min="10" max="16384" width="11.42578125" style="12"/>
  </cols>
  <sheetData>
    <row r="1" spans="1:9" ht="27" customHeight="1">
      <c r="A1" s="8"/>
      <c r="B1" s="9" t="s">
        <v>59</v>
      </c>
      <c r="C1" s="10"/>
      <c r="D1" s="86"/>
      <c r="E1" s="86"/>
      <c r="F1" s="86"/>
      <c r="G1" s="86"/>
      <c r="H1" s="86"/>
      <c r="I1" s="80"/>
    </row>
    <row r="2" spans="1:9" ht="9.75" customHeight="1">
      <c r="A2" s="8"/>
      <c r="B2" s="10"/>
      <c r="C2" s="10"/>
      <c r="D2" s="157" t="str">
        <f>IF(D8="",IF(D9="",IF(D10="",IF(D11="",IF(D12="",IF(D13="","",$B13),$B12),$B11),$B10),$B9),$B8)</f>
        <v/>
      </c>
      <c r="E2" s="157" t="str">
        <f>IF(E8="",IF(E9="",IF(E10="",IF(E11="",IF(E12="",IF(E13="","",$B13),$B12),$B11),$B10),$B9),$B8)</f>
        <v/>
      </c>
      <c r="F2" s="157" t="str">
        <f>IF(F8="",IF(F9="",IF(F10="",IF(F11="",IF(F12="",IF(F13="","",$B13),$B12),$B11),$B10),$B9),$B8)</f>
        <v/>
      </c>
      <c r="G2" s="157" t="str">
        <f>IF(G8="",IF(G9="",IF(G10="",IF(G11="",IF(G12="",IF(G13="","",$B13),$B12),$B11),$B10),$B9),$B8)</f>
        <v/>
      </c>
      <c r="H2" s="157" t="str">
        <f>IF(H8="",IF(H9="",IF(H10="",IF(H11="",IF(H12="",IF(H13="","",$B13),$B12),$B11),$B10),$B9),$B8)</f>
        <v/>
      </c>
      <c r="I2" s="80"/>
    </row>
    <row r="3" spans="1:9" ht="21" customHeight="1" thickBot="1">
      <c r="A3" s="8"/>
      <c r="B3" s="160" t="s">
        <v>60</v>
      </c>
      <c r="C3" s="11"/>
      <c r="D3" s="157" t="str">
        <f>IF(D2="",IF(D14="",IF(D15="",IF(D16="",IF(D17="","",$B17),$B16),$B15),$B14),D2)</f>
        <v/>
      </c>
      <c r="E3" s="157" t="str">
        <f>IF(E2="",IF(E14="",IF(E15="",IF(E16="",IF(E17="","",$B17),$B16),$B15),$B14),E2)</f>
        <v/>
      </c>
      <c r="F3" s="157" t="str">
        <f>IF(F2="",IF(F14="",IF(F15="",IF(F16="",IF(F17="","",$B17),$B16),$B15),$B14),F2)</f>
        <v/>
      </c>
      <c r="G3" s="157" t="str">
        <f>IF(G2="",IF(G14="",IF(G15="",IF(G16="",IF(G17="","",$B17),$B16),$B15),$B14),G2)</f>
        <v/>
      </c>
      <c r="H3" s="157" t="str">
        <f>IF(H2="",IF(H14="",IF(H15="",IF(H16="",IF(H17="","",$B17),$B16),$B15),$B14),H2)</f>
        <v/>
      </c>
      <c r="I3" s="80"/>
    </row>
    <row r="4" spans="1:9" ht="22.5" customHeight="1" thickBot="1">
      <c r="A4" s="15"/>
      <c r="B4" s="188"/>
      <c r="C4" s="16">
        <f>IF(AND(D6=1,E6=1,F6=2,G6=2,H6=1,F19=1,G19=2,H19=1,C8&lt;3,C9&lt;3,C10&lt;3,C11&lt;3,C12&lt;3,C13&lt;3,C14&lt;3,C15&lt;3,C16&lt;3,C17&lt;3,C21&lt;3,C22&lt;3,C23&lt;3,C24&lt;3,C25&lt;3,C26&lt;3),1,0)</f>
        <v>0</v>
      </c>
      <c r="D4" s="17"/>
      <c r="E4" s="17"/>
      <c r="F4" s="159" t="str">
        <f>IF(F5="",IF(F11="",IF(F10="",IF(F9="",IF(F8="","",$B8),$B9),$B10),$B11),F5)</f>
        <v/>
      </c>
      <c r="G4" s="159" t="str">
        <f>IF(G5="",IF(G11="",IF(G10="",IF(G9="",IF(G8="","",$B8),$B9),$B10),$B11),G5)</f>
        <v/>
      </c>
      <c r="H4" s="159"/>
      <c r="I4" s="80"/>
    </row>
    <row r="5" spans="1:9" ht="13.5" customHeight="1" thickBot="1">
      <c r="A5" s="15"/>
      <c r="B5" s="19"/>
      <c r="C5" s="19"/>
      <c r="D5" s="17"/>
      <c r="E5" s="17"/>
      <c r="F5" s="159" t="str">
        <f>IF(F17="",IF(F16="",IF(F15="",IF(F14="",IF(F13="",IF(F12="","",$B12),$B13),$B14),$B15),$B16),$B17)</f>
        <v/>
      </c>
      <c r="G5" s="159" t="str">
        <f>IF(G17="",IF(G16="",IF(G15="",IF(G14="",IF(G13="",IF(G12="","",$B12),$B13),$B14),$B15),$B16),$B17)</f>
        <v/>
      </c>
      <c r="H5" s="159"/>
      <c r="I5" s="80"/>
    </row>
    <row r="6" spans="1:9" ht="15" customHeight="1" thickBot="1">
      <c r="A6" s="8"/>
      <c r="B6" s="11"/>
      <c r="C6" s="11"/>
      <c r="D6" s="20">
        <f>COUNTA(D8:D17)</f>
        <v>0</v>
      </c>
      <c r="E6" s="20">
        <f>COUNTA(E8:E17)</f>
        <v>0</v>
      </c>
      <c r="F6" s="21">
        <f>COUNTA(F8:F17)</f>
        <v>0</v>
      </c>
      <c r="G6" s="21">
        <f>COUNTA(G8:G17)</f>
        <v>0</v>
      </c>
      <c r="H6" s="20">
        <f>COUNTA(H8:H17)</f>
        <v>0</v>
      </c>
    </row>
    <row r="7" spans="1:9" ht="22.5" customHeight="1" thickBot="1">
      <c r="A7" s="22"/>
      <c r="B7" s="23" t="s">
        <v>61</v>
      </c>
      <c r="C7" s="23"/>
      <c r="D7" s="24" t="s">
        <v>20</v>
      </c>
      <c r="E7" s="24" t="s">
        <v>21</v>
      </c>
      <c r="F7" s="25" t="s">
        <v>22</v>
      </c>
      <c r="G7" s="193" t="s">
        <v>23</v>
      </c>
      <c r="H7" s="197" t="s">
        <v>46</v>
      </c>
      <c r="I7" s="27"/>
    </row>
    <row r="8" spans="1:9" ht="22.5" customHeight="1">
      <c r="A8" s="28">
        <v>1</v>
      </c>
      <c r="B8" s="190"/>
      <c r="C8" s="29">
        <f t="shared" ref="C8:C17" si="0">IF(OR(COUNTA(D8:H8)&gt;2,COUNTA(D8:E8)&gt;1,COUNTA(F8:G8)&gt;1),3,COUNTA(D8:H8))</f>
        <v>0</v>
      </c>
      <c r="D8" s="30"/>
      <c r="E8" s="194"/>
      <c r="F8" s="204"/>
      <c r="G8" s="205"/>
      <c r="H8" s="198"/>
      <c r="I8" s="27"/>
    </row>
    <row r="9" spans="1:9" ht="22.5" customHeight="1">
      <c r="A9" s="31">
        <v>2</v>
      </c>
      <c r="B9" s="190"/>
      <c r="C9" s="29">
        <f t="shared" si="0"/>
        <v>0</v>
      </c>
      <c r="D9" s="32"/>
      <c r="E9" s="195"/>
      <c r="F9" s="206"/>
      <c r="G9" s="33"/>
      <c r="H9" s="199"/>
      <c r="I9" s="27"/>
    </row>
    <row r="10" spans="1:9" ht="22.5" customHeight="1">
      <c r="A10" s="31">
        <v>3</v>
      </c>
      <c r="B10" s="190"/>
      <c r="C10" s="29">
        <f t="shared" si="0"/>
        <v>0</v>
      </c>
      <c r="D10" s="32"/>
      <c r="E10" s="195"/>
      <c r="F10" s="206"/>
      <c r="G10" s="33"/>
      <c r="H10" s="199"/>
      <c r="I10" s="27"/>
    </row>
    <row r="11" spans="1:9" ht="22.5" customHeight="1">
      <c r="A11" s="31">
        <v>4</v>
      </c>
      <c r="B11" s="190"/>
      <c r="C11" s="29">
        <f t="shared" si="0"/>
        <v>0</v>
      </c>
      <c r="D11" s="32"/>
      <c r="E11" s="195"/>
      <c r="F11" s="206"/>
      <c r="G11" s="33"/>
      <c r="H11" s="199"/>
      <c r="I11" s="27"/>
    </row>
    <row r="12" spans="1:9" ht="22.5" customHeight="1">
      <c r="A12" s="31">
        <v>5</v>
      </c>
      <c r="B12" s="189"/>
      <c r="C12" s="29">
        <f t="shared" si="0"/>
        <v>0</v>
      </c>
      <c r="D12" s="32"/>
      <c r="E12" s="195"/>
      <c r="F12" s="206"/>
      <c r="G12" s="33"/>
      <c r="H12" s="199"/>
      <c r="I12" s="27"/>
    </row>
    <row r="13" spans="1:9" ht="22.5" customHeight="1">
      <c r="A13" s="31">
        <v>6</v>
      </c>
      <c r="B13" s="190"/>
      <c r="C13" s="29">
        <f t="shared" si="0"/>
        <v>0</v>
      </c>
      <c r="D13" s="32"/>
      <c r="E13" s="195"/>
      <c r="F13" s="206"/>
      <c r="G13" s="33"/>
      <c r="H13" s="199"/>
      <c r="I13" s="27"/>
    </row>
    <row r="14" spans="1:9" ht="22.5" customHeight="1">
      <c r="A14" s="31">
        <v>7</v>
      </c>
      <c r="B14" s="190"/>
      <c r="C14" s="29">
        <f t="shared" si="0"/>
        <v>0</v>
      </c>
      <c r="D14" s="32"/>
      <c r="E14" s="195"/>
      <c r="F14" s="206"/>
      <c r="G14" s="33"/>
      <c r="H14" s="199"/>
      <c r="I14" s="27"/>
    </row>
    <row r="15" spans="1:9" ht="22.5" customHeight="1">
      <c r="A15" s="31">
        <v>8</v>
      </c>
      <c r="B15" s="190"/>
      <c r="C15" s="29">
        <f t="shared" si="0"/>
        <v>0</v>
      </c>
      <c r="D15" s="32"/>
      <c r="E15" s="195"/>
      <c r="F15" s="206"/>
      <c r="G15" s="33"/>
      <c r="H15" s="199"/>
      <c r="I15" s="27"/>
    </row>
    <row r="16" spans="1:9" ht="22.5" customHeight="1">
      <c r="A16" s="31" t="s">
        <v>26</v>
      </c>
      <c r="B16" s="189"/>
      <c r="C16" s="29">
        <f t="shared" si="0"/>
        <v>0</v>
      </c>
      <c r="D16" s="32"/>
      <c r="E16" s="195"/>
      <c r="F16" s="206"/>
      <c r="G16" s="33"/>
      <c r="H16" s="199"/>
      <c r="I16" s="27"/>
    </row>
    <row r="17" spans="1:9" ht="22.5" customHeight="1" thickBot="1">
      <c r="A17" s="34" t="s">
        <v>26</v>
      </c>
      <c r="B17" s="191"/>
      <c r="C17" s="29">
        <f t="shared" si="0"/>
        <v>0</v>
      </c>
      <c r="D17" s="35"/>
      <c r="E17" s="196"/>
      <c r="F17" s="207"/>
      <c r="G17" s="36"/>
      <c r="H17" s="200"/>
      <c r="I17" s="27"/>
    </row>
    <row r="18" spans="1:9" ht="13.5" customHeight="1" thickBot="1">
      <c r="A18" s="37"/>
      <c r="B18" s="38"/>
      <c r="C18" s="38"/>
      <c r="D18" s="38"/>
      <c r="E18" s="38"/>
      <c r="F18" s="38"/>
      <c r="G18" s="38"/>
      <c r="H18" s="38"/>
      <c r="I18" s="27"/>
    </row>
    <row r="19" spans="1:9" ht="15" customHeight="1" thickBot="1">
      <c r="A19" s="37"/>
      <c r="B19" s="38"/>
      <c r="C19" s="38"/>
      <c r="D19" s="39"/>
      <c r="E19" s="20"/>
      <c r="F19" s="20">
        <f>COUNTA(F21:F26)</f>
        <v>0</v>
      </c>
      <c r="G19" s="21">
        <f>COUNTA(G21:G26)</f>
        <v>0</v>
      </c>
      <c r="H19" s="20">
        <f>COUNTA(H21:H26)</f>
        <v>0</v>
      </c>
      <c r="I19" s="27"/>
    </row>
    <row r="20" spans="1:9" ht="22.5" customHeight="1" thickBot="1">
      <c r="A20" s="22"/>
      <c r="B20" s="40" t="s">
        <v>62</v>
      </c>
      <c r="C20" s="40"/>
      <c r="D20" s="41"/>
      <c r="E20" s="41"/>
      <c r="F20" s="25" t="s">
        <v>24</v>
      </c>
      <c r="G20" s="193" t="s">
        <v>25</v>
      </c>
      <c r="H20" s="197" t="s">
        <v>46</v>
      </c>
      <c r="I20" s="27"/>
    </row>
    <row r="21" spans="1:9" ht="22.5" customHeight="1">
      <c r="A21" s="28">
        <v>1</v>
      </c>
      <c r="B21" s="192"/>
      <c r="C21" s="29">
        <f t="shared" ref="C21:C26" si="1">COUNTA(F21:H21)</f>
        <v>0</v>
      </c>
      <c r="D21" s="42"/>
      <c r="E21" s="209"/>
      <c r="F21" s="208"/>
      <c r="G21" s="212"/>
      <c r="H21" s="198"/>
      <c r="I21" s="27"/>
    </row>
    <row r="22" spans="1:9" ht="22.5" customHeight="1">
      <c r="A22" s="31">
        <v>2</v>
      </c>
      <c r="B22" s="190"/>
      <c r="C22" s="29">
        <f t="shared" si="1"/>
        <v>0</v>
      </c>
      <c r="D22" s="43"/>
      <c r="E22" s="210"/>
      <c r="F22" s="199"/>
      <c r="G22" s="213"/>
      <c r="H22" s="199"/>
      <c r="I22" s="27"/>
    </row>
    <row r="23" spans="1:9" ht="22.5" customHeight="1">
      <c r="A23" s="31">
        <v>3</v>
      </c>
      <c r="B23" s="190"/>
      <c r="C23" s="29">
        <f t="shared" si="1"/>
        <v>0</v>
      </c>
      <c r="D23" s="43"/>
      <c r="E23" s="210"/>
      <c r="F23" s="199"/>
      <c r="G23" s="213"/>
      <c r="H23" s="199"/>
      <c r="I23" s="27"/>
    </row>
    <row r="24" spans="1:9" ht="22.5" customHeight="1">
      <c r="A24" s="31">
        <v>4</v>
      </c>
      <c r="B24" s="190"/>
      <c r="C24" s="29">
        <f t="shared" si="1"/>
        <v>0</v>
      </c>
      <c r="D24" s="43"/>
      <c r="E24" s="210"/>
      <c r="F24" s="199"/>
      <c r="G24" s="213"/>
      <c r="H24" s="199"/>
      <c r="I24" s="27"/>
    </row>
    <row r="25" spans="1:9" ht="22.5" customHeight="1">
      <c r="A25" s="31" t="s">
        <v>26</v>
      </c>
      <c r="B25" s="190"/>
      <c r="C25" s="29">
        <f t="shared" si="1"/>
        <v>0</v>
      </c>
      <c r="D25" s="43"/>
      <c r="E25" s="210"/>
      <c r="F25" s="199"/>
      <c r="G25" s="213"/>
      <c r="H25" s="199"/>
      <c r="I25" s="27"/>
    </row>
    <row r="26" spans="1:9" ht="22.5" customHeight="1" thickBot="1">
      <c r="A26" s="34" t="s">
        <v>26</v>
      </c>
      <c r="B26" s="191"/>
      <c r="C26" s="44">
        <f t="shared" si="1"/>
        <v>0</v>
      </c>
      <c r="D26" s="45"/>
      <c r="E26" s="211"/>
      <c r="F26" s="200"/>
      <c r="G26" s="214"/>
      <c r="H26" s="200"/>
      <c r="I26" s="27"/>
    </row>
    <row r="27" spans="1:9" ht="15" customHeight="1">
      <c r="A27" s="46"/>
      <c r="B27" s="14"/>
      <c r="C27" s="14"/>
      <c r="D27" s="14"/>
      <c r="E27" s="14"/>
      <c r="F27" s="14"/>
      <c r="G27" s="14"/>
      <c r="H27" s="14"/>
    </row>
    <row r="28" spans="1:9" ht="21" customHeight="1" thickBot="1">
      <c r="A28" s="37"/>
      <c r="B28" s="38" t="s">
        <v>63</v>
      </c>
      <c r="C28" s="38"/>
      <c r="D28" s="38"/>
      <c r="E28" s="38"/>
      <c r="F28" s="13" t="str">
        <f>IF(F21="",IF(F22="",IF(F23="",IF(F24="",IF(F25="",IF(F26="","",$B26),$B25),$B24),$B23),$B22),$B21)</f>
        <v/>
      </c>
      <c r="G28" s="13" t="str">
        <f>IF(G21="",IF(G22="",IF(G23="",IF(G24="",IF(G25="",IF(G26="","",$B26),$B25),$B24),$B23),$B22),$B21)</f>
        <v/>
      </c>
      <c r="H28" s="13" t="str">
        <f>IF(H21="",IF(H22="",IF(H23="",IF(H24="",IF(H25="",IF(H26="","",$B26),$B25),$B24),$B23),$B22),$B21)</f>
        <v/>
      </c>
    </row>
    <row r="29" spans="1:9" ht="22.5" customHeight="1" thickBot="1">
      <c r="A29" s="37"/>
      <c r="B29" s="47"/>
      <c r="C29" s="38"/>
      <c r="D29" s="38"/>
      <c r="E29" s="38"/>
      <c r="F29" s="48"/>
      <c r="G29" s="18" t="str">
        <f>IF(G26="",IF(G25="",IF(G24="",IF(G23="",IF(G22="",IF(G21="","",$B21),$B22),$B23),$B24),$B25),$B26)</f>
        <v/>
      </c>
      <c r="H29" s="48"/>
    </row>
    <row r="30" spans="1:9">
      <c r="A30" s="49"/>
      <c r="B30" s="27"/>
      <c r="C30" s="27"/>
      <c r="D30" s="27"/>
      <c r="E30" s="27"/>
      <c r="F30" s="27"/>
      <c r="G30" s="27"/>
      <c r="H30" s="27"/>
    </row>
    <row r="31" spans="1:9">
      <c r="A31" s="49"/>
      <c r="B31" s="27"/>
      <c r="C31" s="27"/>
      <c r="D31" s="27"/>
      <c r="E31" s="27"/>
      <c r="F31" s="27"/>
      <c r="G31" s="27"/>
      <c r="H31" s="27"/>
    </row>
  </sheetData>
  <sheetProtection password="D141" sheet="1" objects="1" scenarios="1"/>
  <phoneticPr fontId="0" type="noConversion"/>
  <conditionalFormatting sqref="F19 H19 H6 D6:E6">
    <cfRule type="cellIs" dxfId="25" priority="1" stopIfTrue="1" operator="equal">
      <formula>0</formula>
    </cfRule>
    <cfRule type="cellIs" dxfId="24" priority="2" stopIfTrue="1" operator="equal">
      <formula>1</formula>
    </cfRule>
    <cfRule type="cellIs" dxfId="23" priority="3" stopIfTrue="1" operator="greaterThan">
      <formula>1</formula>
    </cfRule>
  </conditionalFormatting>
  <conditionalFormatting sqref="G19 F6:G6">
    <cfRule type="cellIs" dxfId="22" priority="4" stopIfTrue="1" operator="equal">
      <formula>0</formula>
    </cfRule>
    <cfRule type="cellIs" dxfId="21" priority="5" stopIfTrue="1" operator="equal">
      <formula>2</formula>
    </cfRule>
    <cfRule type="cellIs" dxfId="20" priority="6" stopIfTrue="1" operator="greaterThan">
      <formula>2</formula>
    </cfRule>
  </conditionalFormatting>
  <conditionalFormatting sqref="C21:C26 C8:C17">
    <cfRule type="cellIs" dxfId="19" priority="7" stopIfTrue="1" operator="equal">
      <formula>1</formula>
    </cfRule>
    <cfRule type="cellIs" dxfId="18" priority="8" stopIfTrue="1" operator="greaterThan">
      <formula>2</formula>
    </cfRule>
    <cfRule type="cellIs" dxfId="17" priority="9" stopIfTrue="1" operator="equal">
      <formula>2</formula>
    </cfRule>
  </conditionalFormatting>
  <conditionalFormatting sqref="C4">
    <cfRule type="cellIs" dxfId="16" priority="10" stopIfTrue="1" operator="notEqual">
      <formula>1</formula>
    </cfRule>
    <cfRule type="cellIs" dxfId="15" priority="11" stopIfTrue="1" operator="equal">
      <formula>1</formula>
    </cfRule>
  </conditionalFormatting>
  <pageMargins left="0.97" right="0.68" top="0.84" bottom="0.23" header="0.26" footer="0.16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loeschen_heim">
          <controlPr defaultSize="0" print="0" autoLine="0" r:id="rId5">
            <anchor moveWithCells="1">
              <from>
                <xdr:col>6</xdr:col>
                <xdr:colOff>333375</xdr:colOff>
                <xdr:row>0</xdr:row>
                <xdr:rowOff>152400</xdr:rowOff>
              </from>
              <to>
                <xdr:col>9</xdr:col>
                <xdr:colOff>209550</xdr:colOff>
                <xdr:row>3</xdr:row>
                <xdr:rowOff>180975</xdr:rowOff>
              </to>
            </anchor>
          </controlPr>
        </control>
      </mc:Choice>
      <mc:Fallback>
        <control shapeId="5126" r:id="rId4" name="loeschen_hei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I31"/>
  <sheetViews>
    <sheetView tabSelected="1" workbookViewId="0">
      <selection activeCell="B4" sqref="B4"/>
    </sheetView>
  </sheetViews>
  <sheetFormatPr baseColWidth="10" defaultRowHeight="14.25"/>
  <cols>
    <col min="1" max="1" width="3.7109375" style="50" customWidth="1"/>
    <col min="2" max="2" width="31.5703125" style="12" customWidth="1"/>
    <col min="3" max="3" width="2.7109375" style="12" customWidth="1"/>
    <col min="4" max="8" width="5.28515625" style="12" customWidth="1"/>
    <col min="9" max="9" width="6.7109375" style="12" customWidth="1"/>
    <col min="10" max="16384" width="11.42578125" style="12"/>
  </cols>
  <sheetData>
    <row r="1" spans="1:9" ht="27" customHeight="1">
      <c r="A1" s="8"/>
      <c r="B1" s="9" t="s">
        <v>59</v>
      </c>
      <c r="C1" s="10"/>
      <c r="D1" s="11"/>
      <c r="E1" s="11"/>
      <c r="F1" s="11"/>
      <c r="G1" s="11"/>
      <c r="H1" s="11"/>
    </row>
    <row r="2" spans="1:9" ht="9.75" customHeight="1">
      <c r="A2" s="8"/>
      <c r="B2" s="10"/>
      <c r="C2" s="10"/>
      <c r="D2" s="157" t="str">
        <f>IF(D8="",IF(D9="",IF(D10="",IF(D11="",IF(D12="",IF(D13="","",$B13),$B12),$B11),$B10),$B9),$B8)</f>
        <v/>
      </c>
      <c r="E2" s="157" t="str">
        <f>IF(E8="",IF(E9="",IF(E10="",IF(E11="",IF(E12="",IF(E13="","",$B13),$B12),$B11),$B10),$B9),$B8)</f>
        <v/>
      </c>
      <c r="F2" s="157" t="str">
        <f>IF(F8="",IF(F9="",IF(F10="",IF(F11="",IF(F12="",IF(F13="","",$B13),$B12),$B11),$B10),$B9),$B8)</f>
        <v/>
      </c>
      <c r="G2" s="157" t="str">
        <f>IF(G8="",IF(G9="",IF(G10="",IF(G11="",IF(G12="",IF(G13="","",$B13),$B12),$B11),$B10),$B9),$B8)</f>
        <v/>
      </c>
      <c r="H2" s="157" t="str">
        <f>IF(H8="",IF(H9="",IF(H10="",IF(H11="",IF(H12="",IF(H13="","",$B13),$B12),$B11),$B10),$B9),$B8)</f>
        <v/>
      </c>
    </row>
    <row r="3" spans="1:9" ht="21" customHeight="1" thickBot="1">
      <c r="A3" s="8"/>
      <c r="B3" s="160" t="s">
        <v>64</v>
      </c>
      <c r="C3" s="11"/>
      <c r="D3" s="157" t="str">
        <f>IF(D2="",IF(D14="",IF(D15="",IF(D16="",IF(D17="","",$B17),$B16),$B15),$B14),D2)</f>
        <v/>
      </c>
      <c r="E3" s="157" t="str">
        <f>IF(E2="",IF(E14="",IF(E15="",IF(E16="",IF(E17="","",$B17),$B16),$B15),$B14),E2)</f>
        <v/>
      </c>
      <c r="F3" s="157" t="str">
        <f>IF(F2="",IF(F14="",IF(F15="",IF(F16="",IF(F17="","",$B17),$B16),$B15),$B14),F2)</f>
        <v/>
      </c>
      <c r="G3" s="157" t="str">
        <f>IF(G2="",IF(G14="",IF(G15="",IF(G16="",IF(G17="","",$B17),$B16),$B15),$B14),G2)</f>
        <v/>
      </c>
      <c r="H3" s="157" t="str">
        <f>IF(H2="",IF(H14="",IF(H15="",IF(H16="",IF(H17="","",$B17),$B16),$B15),$B14),H2)</f>
        <v/>
      </c>
    </row>
    <row r="4" spans="1:9" ht="22.5" customHeight="1" thickBot="1">
      <c r="A4" s="15"/>
      <c r="B4" s="188"/>
      <c r="C4" s="16">
        <f>IF(AND(D6=1,E6=1,F6=2,G6=2,H6=1,F19=1,G19=2,H19=1,C8&lt;3,C9&lt;3,C10&lt;3,C11&lt;3,C12&lt;3,C13&lt;3,C14&lt;3,C15&lt;3,C16&lt;3,C17&lt;3,C21&lt;3,C22&lt;3,C23&lt;3,C24&lt;3,C25&lt;3,C26&lt;3),1,0)</f>
        <v>0</v>
      </c>
      <c r="D4" s="17"/>
      <c r="E4" s="17"/>
      <c r="F4" s="159" t="str">
        <f>IF(F5="",IF(F11="",IF(F10="",IF(F9="",IF(F8="","",$B8),$B9),$B10),$B11),F5)</f>
        <v/>
      </c>
      <c r="G4" s="159" t="str">
        <f>IF(G5="",IF(G11="",IF(G10="",IF(G9="",IF(G8="","",$B8),$B9),$B10),$B11),G5)</f>
        <v/>
      </c>
      <c r="H4" s="159"/>
    </row>
    <row r="5" spans="1:9" ht="13.5" customHeight="1" thickBot="1">
      <c r="A5" s="15"/>
      <c r="B5" s="19"/>
      <c r="C5" s="19"/>
      <c r="D5" s="51"/>
      <c r="E5" s="51"/>
      <c r="F5" s="18" t="str">
        <f>IF(F17="",IF(F16="",IF(F15="",IF(F14="",IF(F13="",IF(F12="","",$B12),$B13),$B14),$B15),$B16),$B17)</f>
        <v/>
      </c>
      <c r="G5" s="18" t="str">
        <f>IF(G17="",IF(G16="",IF(G15="",IF(G14="",IF(G13="",IF(G12="","",$B12),$B13),$B14),$B15),$B16),$B17)</f>
        <v/>
      </c>
      <c r="H5" s="52"/>
    </row>
    <row r="6" spans="1:9" ht="15" customHeight="1" thickBot="1">
      <c r="A6" s="8"/>
      <c r="B6" s="11"/>
      <c r="C6" s="11"/>
      <c r="D6" s="20">
        <f>COUNTA(D8:D17)</f>
        <v>0</v>
      </c>
      <c r="E6" s="20">
        <f>COUNTA(E8:E17)</f>
        <v>0</v>
      </c>
      <c r="F6" s="21">
        <f>COUNTA(F8:F17)</f>
        <v>0</v>
      </c>
      <c r="G6" s="21">
        <f>COUNTA(G8:G17)</f>
        <v>0</v>
      </c>
      <c r="H6" s="20">
        <f>COUNTA(H8:H17)</f>
        <v>0</v>
      </c>
    </row>
    <row r="7" spans="1:9" ht="22.5" customHeight="1" thickBot="1">
      <c r="A7" s="22"/>
      <c r="B7" s="23" t="s">
        <v>61</v>
      </c>
      <c r="C7" s="23"/>
      <c r="D7" s="24" t="s">
        <v>20</v>
      </c>
      <c r="E7" s="24" t="s">
        <v>21</v>
      </c>
      <c r="F7" s="25" t="s">
        <v>22</v>
      </c>
      <c r="G7" s="25" t="s">
        <v>23</v>
      </c>
      <c r="H7" s="26" t="s">
        <v>46</v>
      </c>
      <c r="I7" s="27"/>
    </row>
    <row r="8" spans="1:9" ht="22.5" customHeight="1">
      <c r="A8" s="28">
        <v>1</v>
      </c>
      <c r="B8" s="189"/>
      <c r="C8" s="29">
        <f t="shared" ref="C8:C17" si="0">IF(OR(COUNTA(D8:H8)&gt;2,COUNTA(D8:E8)&gt;1,COUNTA(F8:G8)&gt;1),3,COUNTA(D8:H8))</f>
        <v>0</v>
      </c>
      <c r="D8" s="30"/>
      <c r="E8" s="194"/>
      <c r="F8" s="204"/>
      <c r="G8" s="205"/>
      <c r="H8" s="201"/>
      <c r="I8" s="27"/>
    </row>
    <row r="9" spans="1:9" ht="22.5" customHeight="1">
      <c r="A9" s="31">
        <v>2</v>
      </c>
      <c r="B9" s="190"/>
      <c r="C9" s="29">
        <f t="shared" si="0"/>
        <v>0</v>
      </c>
      <c r="D9" s="32"/>
      <c r="E9" s="195"/>
      <c r="F9" s="206"/>
      <c r="G9" s="33"/>
      <c r="H9" s="202"/>
      <c r="I9" s="27"/>
    </row>
    <row r="10" spans="1:9" ht="22.5" customHeight="1">
      <c r="A10" s="31">
        <v>3</v>
      </c>
      <c r="B10" s="190"/>
      <c r="C10" s="29">
        <f t="shared" si="0"/>
        <v>0</v>
      </c>
      <c r="D10" s="32"/>
      <c r="E10" s="195"/>
      <c r="F10" s="206"/>
      <c r="G10" s="33"/>
      <c r="H10" s="202"/>
      <c r="I10" s="27"/>
    </row>
    <row r="11" spans="1:9" ht="22.5" customHeight="1">
      <c r="A11" s="31">
        <v>4</v>
      </c>
      <c r="B11" s="190"/>
      <c r="C11" s="29">
        <f t="shared" si="0"/>
        <v>0</v>
      </c>
      <c r="D11" s="32"/>
      <c r="E11" s="195"/>
      <c r="F11" s="206"/>
      <c r="G11" s="33"/>
      <c r="H11" s="202"/>
      <c r="I11" s="27"/>
    </row>
    <row r="12" spans="1:9" ht="22.5" customHeight="1">
      <c r="A12" s="31">
        <v>5</v>
      </c>
      <c r="B12" s="190"/>
      <c r="C12" s="29">
        <f t="shared" si="0"/>
        <v>0</v>
      </c>
      <c r="D12" s="32"/>
      <c r="E12" s="195"/>
      <c r="F12" s="206"/>
      <c r="G12" s="33"/>
      <c r="H12" s="202"/>
      <c r="I12" s="27"/>
    </row>
    <row r="13" spans="1:9" ht="22.5" customHeight="1">
      <c r="A13" s="31">
        <v>6</v>
      </c>
      <c r="B13" s="190"/>
      <c r="C13" s="29">
        <f t="shared" si="0"/>
        <v>0</v>
      </c>
      <c r="D13" s="32"/>
      <c r="E13" s="195"/>
      <c r="F13" s="206"/>
      <c r="G13" s="33"/>
      <c r="H13" s="202"/>
      <c r="I13" s="27"/>
    </row>
    <row r="14" spans="1:9" ht="22.5" customHeight="1">
      <c r="A14" s="31">
        <v>7</v>
      </c>
      <c r="B14" s="190"/>
      <c r="C14" s="29">
        <f t="shared" si="0"/>
        <v>0</v>
      </c>
      <c r="D14" s="32"/>
      <c r="E14" s="195"/>
      <c r="F14" s="206"/>
      <c r="G14" s="33"/>
      <c r="H14" s="202"/>
      <c r="I14" s="27"/>
    </row>
    <row r="15" spans="1:9" ht="22.5" customHeight="1">
      <c r="A15" s="31">
        <v>8</v>
      </c>
      <c r="B15" s="190"/>
      <c r="C15" s="29">
        <f t="shared" si="0"/>
        <v>0</v>
      </c>
      <c r="D15" s="32"/>
      <c r="E15" s="195"/>
      <c r="F15" s="206"/>
      <c r="G15" s="33"/>
      <c r="H15" s="202"/>
      <c r="I15" s="27"/>
    </row>
    <row r="16" spans="1:9" ht="22.5" customHeight="1">
      <c r="A16" s="31" t="s">
        <v>26</v>
      </c>
      <c r="B16" s="190"/>
      <c r="C16" s="29">
        <f t="shared" si="0"/>
        <v>0</v>
      </c>
      <c r="D16" s="32"/>
      <c r="E16" s="195"/>
      <c r="F16" s="206"/>
      <c r="G16" s="33"/>
      <c r="H16" s="202"/>
      <c r="I16" s="27"/>
    </row>
    <row r="17" spans="1:9" ht="22.5" customHeight="1" thickBot="1">
      <c r="A17" s="34" t="s">
        <v>26</v>
      </c>
      <c r="B17" s="191"/>
      <c r="C17" s="29">
        <f t="shared" si="0"/>
        <v>0</v>
      </c>
      <c r="D17" s="35"/>
      <c r="E17" s="196"/>
      <c r="F17" s="207"/>
      <c r="G17" s="36"/>
      <c r="H17" s="203"/>
      <c r="I17" s="27"/>
    </row>
    <row r="18" spans="1:9" ht="13.5" customHeight="1" thickBot="1">
      <c r="A18" s="37"/>
      <c r="B18" s="38"/>
      <c r="C18" s="38"/>
      <c r="D18" s="38"/>
      <c r="E18" s="38"/>
      <c r="F18" s="38"/>
      <c r="G18" s="38"/>
      <c r="H18" s="38"/>
      <c r="I18" s="27"/>
    </row>
    <row r="19" spans="1:9" ht="15" customHeight="1" thickBot="1">
      <c r="A19" s="37"/>
      <c r="B19" s="38"/>
      <c r="C19" s="38"/>
      <c r="D19" s="39"/>
      <c r="E19" s="20"/>
      <c r="F19" s="20">
        <f>COUNTA(F21:F26)</f>
        <v>0</v>
      </c>
      <c r="G19" s="21">
        <f>COUNTA(G21:G26)</f>
        <v>0</v>
      </c>
      <c r="H19" s="20">
        <f>COUNTA(H21:H26)</f>
        <v>0</v>
      </c>
      <c r="I19" s="27"/>
    </row>
    <row r="20" spans="1:9" ht="22.5" customHeight="1" thickBot="1">
      <c r="A20" s="22"/>
      <c r="B20" s="40" t="s">
        <v>62</v>
      </c>
      <c r="C20" s="40"/>
      <c r="D20" s="41"/>
      <c r="E20" s="41"/>
      <c r="F20" s="25" t="s">
        <v>24</v>
      </c>
      <c r="G20" s="25" t="s">
        <v>25</v>
      </c>
      <c r="H20" s="26" t="s">
        <v>46</v>
      </c>
      <c r="I20" s="27"/>
    </row>
    <row r="21" spans="1:9" ht="22.5" customHeight="1">
      <c r="A21" s="28">
        <v>1</v>
      </c>
      <c r="B21" s="192"/>
      <c r="C21" s="29">
        <f t="shared" ref="C21:C26" si="1">COUNTA(F21:H21)</f>
        <v>0</v>
      </c>
      <c r="D21" s="42"/>
      <c r="E21" s="42"/>
      <c r="F21" s="194"/>
      <c r="G21" s="208"/>
      <c r="H21" s="201"/>
      <c r="I21" s="27"/>
    </row>
    <row r="22" spans="1:9" ht="22.5" customHeight="1">
      <c r="A22" s="31">
        <v>2</v>
      </c>
      <c r="B22" s="190"/>
      <c r="C22" s="29">
        <f t="shared" si="1"/>
        <v>0</v>
      </c>
      <c r="D22" s="43"/>
      <c r="E22" s="43"/>
      <c r="F22" s="195"/>
      <c r="G22" s="199"/>
      <c r="H22" s="202"/>
      <c r="I22" s="27"/>
    </row>
    <row r="23" spans="1:9" ht="22.5" customHeight="1">
      <c r="A23" s="31">
        <v>3</v>
      </c>
      <c r="B23" s="190"/>
      <c r="C23" s="29">
        <f t="shared" si="1"/>
        <v>0</v>
      </c>
      <c r="D23" s="43"/>
      <c r="E23" s="43"/>
      <c r="F23" s="195"/>
      <c r="G23" s="199"/>
      <c r="H23" s="202"/>
      <c r="I23" s="27"/>
    </row>
    <row r="24" spans="1:9" ht="22.5" customHeight="1">
      <c r="A24" s="31">
        <v>4</v>
      </c>
      <c r="B24" s="190"/>
      <c r="C24" s="29">
        <f t="shared" si="1"/>
        <v>0</v>
      </c>
      <c r="D24" s="43"/>
      <c r="E24" s="43"/>
      <c r="F24" s="195"/>
      <c r="G24" s="199"/>
      <c r="H24" s="202"/>
      <c r="I24" s="27"/>
    </row>
    <row r="25" spans="1:9" ht="22.5" customHeight="1">
      <c r="A25" s="31" t="s">
        <v>26</v>
      </c>
      <c r="B25" s="190"/>
      <c r="C25" s="29">
        <f t="shared" si="1"/>
        <v>0</v>
      </c>
      <c r="D25" s="43"/>
      <c r="E25" s="43"/>
      <c r="F25" s="195"/>
      <c r="G25" s="199"/>
      <c r="H25" s="202"/>
      <c r="I25" s="27"/>
    </row>
    <row r="26" spans="1:9" ht="22.5" customHeight="1" thickBot="1">
      <c r="A26" s="34" t="s">
        <v>26</v>
      </c>
      <c r="B26" s="191"/>
      <c r="C26" s="44">
        <f t="shared" si="1"/>
        <v>0</v>
      </c>
      <c r="D26" s="45"/>
      <c r="E26" s="45"/>
      <c r="F26" s="196"/>
      <c r="G26" s="200"/>
      <c r="H26" s="203"/>
      <c r="I26" s="27"/>
    </row>
    <row r="27" spans="1:9" ht="10.5" customHeight="1">
      <c r="A27" s="46"/>
      <c r="B27" s="14"/>
      <c r="C27" s="14"/>
      <c r="D27" s="14"/>
      <c r="E27" s="14"/>
      <c r="F27" s="14"/>
      <c r="G27" s="14"/>
      <c r="H27" s="14"/>
    </row>
    <row r="28" spans="1:9" ht="21" customHeight="1" thickBot="1">
      <c r="A28" s="37"/>
      <c r="B28" s="38" t="s">
        <v>63</v>
      </c>
      <c r="C28" s="38"/>
      <c r="D28" s="38"/>
      <c r="E28" s="38"/>
      <c r="F28" s="157" t="str">
        <f>IF(F21="",IF(F22="",IF(F23="",IF(F24="",IF(F25="",IF(F26="","",$B26),$B25),$B24),$B23),$B22),$B21)</f>
        <v/>
      </c>
      <c r="G28" s="157" t="str">
        <f>IF(G21="",IF(G22="",IF(G23="",IF(G24="",IF(G25="",IF(G26="","",$B26),$B25),$B24),$B23),$B22),$B21)</f>
        <v/>
      </c>
      <c r="H28" s="157" t="str">
        <f>IF(H21="",IF(H22="",IF(H23="",IF(H24="",IF(H25="",IF(H26="","",$B26),$B25),$B24),$B23),$B22),$B21)</f>
        <v/>
      </c>
    </row>
    <row r="29" spans="1:9" ht="22.5" customHeight="1" thickBot="1">
      <c r="A29" s="37"/>
      <c r="B29" s="47"/>
      <c r="C29" s="38"/>
      <c r="D29" s="38"/>
      <c r="E29" s="38"/>
      <c r="F29" s="158"/>
      <c r="G29" s="159" t="str">
        <f>IF(G26="",IF(G25="",IF(G24="",IF(G23="",IF(G22="",IF(G21="","",$B21),$B22),$B23),$B24),$B25),$B26)</f>
        <v/>
      </c>
      <c r="H29" s="158"/>
    </row>
    <row r="30" spans="1:9">
      <c r="A30" s="49"/>
      <c r="B30" s="27"/>
      <c r="C30" s="27"/>
      <c r="D30" s="27"/>
      <c r="E30" s="27"/>
      <c r="F30" s="27"/>
      <c r="G30" s="27"/>
      <c r="H30" s="27"/>
    </row>
    <row r="31" spans="1:9">
      <c r="A31" s="49"/>
      <c r="B31" s="27"/>
      <c r="C31" s="27"/>
      <c r="D31" s="27"/>
      <c r="E31" s="27"/>
      <c r="F31" s="27"/>
      <c r="G31" s="27"/>
      <c r="H31" s="27"/>
    </row>
  </sheetData>
  <sheetProtection password="D141" sheet="1" objects="1" scenarios="1"/>
  <phoneticPr fontId="0" type="noConversion"/>
  <conditionalFormatting sqref="F19 H19 H6 D6:E6">
    <cfRule type="cellIs" dxfId="14" priority="1" stopIfTrue="1" operator="equal">
      <formula>0</formula>
    </cfRule>
    <cfRule type="cellIs" dxfId="13" priority="2" stopIfTrue="1" operator="equal">
      <formula>1</formula>
    </cfRule>
    <cfRule type="cellIs" dxfId="12" priority="3" stopIfTrue="1" operator="greaterThan">
      <formula>1</formula>
    </cfRule>
  </conditionalFormatting>
  <conditionalFormatting sqref="G19 F6:G6">
    <cfRule type="cellIs" dxfId="11" priority="4" stopIfTrue="1" operator="equal">
      <formula>0</formula>
    </cfRule>
    <cfRule type="cellIs" dxfId="10" priority="5" stopIfTrue="1" operator="equal">
      <formula>2</formula>
    </cfRule>
    <cfRule type="cellIs" dxfId="9" priority="6" stopIfTrue="1" operator="greaterThan">
      <formula>2</formula>
    </cfRule>
  </conditionalFormatting>
  <conditionalFormatting sqref="C21:C26 C8:C17">
    <cfRule type="cellIs" dxfId="8" priority="7" stopIfTrue="1" operator="equal">
      <formula>1</formula>
    </cfRule>
    <cfRule type="cellIs" dxfId="7" priority="8" stopIfTrue="1" operator="greaterThan">
      <formula>2</formula>
    </cfRule>
    <cfRule type="cellIs" dxfId="6" priority="9" stopIfTrue="1" operator="equal">
      <formula>2</formula>
    </cfRule>
  </conditionalFormatting>
  <conditionalFormatting sqref="C4">
    <cfRule type="cellIs" dxfId="5" priority="10" stopIfTrue="1" operator="notEqual">
      <formula>1</formula>
    </cfRule>
    <cfRule type="cellIs" dxfId="4" priority="11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loeschen_gast">
          <controlPr defaultSize="0" print="0" autoLine="0" r:id="rId5">
            <anchor moveWithCells="1">
              <from>
                <xdr:col>6</xdr:col>
                <xdr:colOff>333375</xdr:colOff>
                <xdr:row>0</xdr:row>
                <xdr:rowOff>152400</xdr:rowOff>
              </from>
              <to>
                <xdr:col>9</xdr:col>
                <xdr:colOff>209550</xdr:colOff>
                <xdr:row>3</xdr:row>
                <xdr:rowOff>180975</xdr:rowOff>
              </to>
            </anchor>
          </controlPr>
        </control>
      </mc:Choice>
      <mc:Fallback>
        <control shapeId="7169" r:id="rId4" name="loeschen_ga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M41"/>
  <sheetViews>
    <sheetView workbookViewId="0">
      <selection activeCell="F6" sqref="F6"/>
    </sheetView>
  </sheetViews>
  <sheetFormatPr baseColWidth="10" defaultRowHeight="12.75"/>
  <cols>
    <col min="1" max="1" width="15.42578125" style="12" customWidth="1"/>
    <col min="2" max="2" width="3.7109375" style="12" customWidth="1"/>
    <col min="3" max="3" width="5.28515625" style="12" customWidth="1"/>
    <col min="4" max="4" width="1.140625" style="12" customWidth="1"/>
    <col min="5" max="5" width="5.28515625" style="12" customWidth="1"/>
    <col min="6" max="6" width="4.28515625" style="12" customWidth="1"/>
    <col min="7" max="7" width="5.28515625" style="12" customWidth="1"/>
    <col min="8" max="8" width="1.140625" style="12" customWidth="1"/>
    <col min="9" max="9" width="5.28515625" style="12" customWidth="1"/>
    <col min="10" max="10" width="4.28515625" style="12" customWidth="1"/>
    <col min="11" max="11" width="5.28515625" style="12" customWidth="1"/>
    <col min="12" max="12" width="1.140625" style="12" customWidth="1"/>
    <col min="13" max="13" width="5.28515625" style="12" customWidth="1"/>
    <col min="14" max="14" width="4.28515625" style="12" customWidth="1"/>
    <col min="15" max="15" width="5.28515625" style="12" customWidth="1"/>
    <col min="16" max="16" width="1.28515625" style="12" customWidth="1"/>
    <col min="17" max="17" width="5.28515625" style="12" customWidth="1"/>
    <col min="18" max="18" width="3.5703125" style="12" customWidth="1"/>
    <col min="19" max="19" width="1.140625" style="12" customWidth="1"/>
    <col min="20" max="23" width="13.85546875" style="12" customWidth="1"/>
    <col min="24" max="32" width="3.28515625" style="12" customWidth="1"/>
    <col min="33" max="33" width="4" style="12" customWidth="1"/>
    <col min="34" max="34" width="5" style="12" customWidth="1"/>
    <col min="35" max="16384" width="11.42578125" style="12"/>
  </cols>
  <sheetData>
    <row r="1" spans="1:39" ht="4.5" customHeight="1">
      <c r="L1" s="161">
        <v>1</v>
      </c>
    </row>
    <row r="2" spans="1:39" ht="3.75" customHeight="1">
      <c r="L2" s="161">
        <v>2</v>
      </c>
    </row>
    <row r="3" spans="1:39" ht="4.5" customHeight="1">
      <c r="C3" s="127"/>
      <c r="L3" s="161">
        <v>3</v>
      </c>
    </row>
    <row r="4" spans="1:39">
      <c r="L4" s="161">
        <v>5</v>
      </c>
    </row>
    <row r="5" spans="1:39">
      <c r="L5" s="161">
        <v>4</v>
      </c>
    </row>
    <row r="6" spans="1:39">
      <c r="L6" s="161">
        <v>7</v>
      </c>
    </row>
    <row r="7" spans="1:39">
      <c r="L7" s="161">
        <v>8</v>
      </c>
    </row>
    <row r="8" spans="1:39">
      <c r="L8" s="161">
        <v>6</v>
      </c>
    </row>
    <row r="10" spans="1:39">
      <c r="B10" s="76"/>
      <c r="C10" s="162"/>
      <c r="D10" s="182"/>
      <c r="E10" s="76"/>
      <c r="F10" s="182"/>
      <c r="G10" s="76"/>
      <c r="H10" s="182"/>
      <c r="I10" s="76"/>
      <c r="J10" s="183"/>
      <c r="K10" s="76"/>
      <c r="L10" s="182"/>
      <c r="M10" s="76"/>
      <c r="N10" s="70"/>
      <c r="O10" s="76"/>
      <c r="P10" s="76"/>
      <c r="Q10" s="76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</row>
    <row r="11" spans="1:39">
      <c r="B11" s="76"/>
      <c r="C11" s="162"/>
      <c r="D11" s="182"/>
      <c r="E11" s="76"/>
      <c r="F11" s="182"/>
      <c r="G11" s="76"/>
      <c r="H11" s="182"/>
      <c r="I11" s="76"/>
      <c r="J11" s="182"/>
      <c r="K11" s="76"/>
      <c r="L11" s="182"/>
      <c r="M11" s="76"/>
      <c r="O11" s="76"/>
      <c r="P11" s="76"/>
      <c r="Q11" s="76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</row>
    <row r="12" spans="1:39">
      <c r="B12" s="70"/>
      <c r="C12" s="76"/>
      <c r="D12" s="182"/>
      <c r="E12" s="76"/>
      <c r="F12" s="182"/>
      <c r="G12" s="76"/>
      <c r="H12" s="182"/>
      <c r="I12" s="76"/>
      <c r="J12" s="80"/>
      <c r="K12" s="182"/>
      <c r="L12" s="70"/>
      <c r="M12" s="76"/>
      <c r="O12" s="76"/>
      <c r="P12" s="76"/>
      <c r="Q12" s="76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</row>
    <row r="13" spans="1:39">
      <c r="B13" s="174"/>
      <c r="C13" s="175" t="s">
        <v>48</v>
      </c>
      <c r="D13" s="176"/>
      <c r="E13" s="174"/>
      <c r="F13" s="176"/>
      <c r="G13" s="174"/>
      <c r="H13" s="176"/>
      <c r="I13" s="174"/>
      <c r="J13" s="176"/>
      <c r="K13" s="174"/>
      <c r="L13" s="176"/>
      <c r="M13" s="174"/>
      <c r="N13" s="177"/>
      <c r="O13" s="174"/>
      <c r="P13" s="174"/>
      <c r="Q13" s="174"/>
      <c r="R13" s="177"/>
      <c r="W13" s="27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</row>
    <row r="14" spans="1:39" ht="13.5" thickBot="1">
      <c r="B14" s="174"/>
      <c r="C14" s="174"/>
      <c r="D14" s="176" t="s">
        <v>49</v>
      </c>
      <c r="E14" s="174"/>
      <c r="F14" s="176"/>
      <c r="G14" s="174" t="s">
        <v>50</v>
      </c>
      <c r="H14" s="176"/>
      <c r="I14" s="174" t="s">
        <v>51</v>
      </c>
      <c r="J14" s="176"/>
      <c r="K14" s="174" t="s">
        <v>52</v>
      </c>
      <c r="L14" s="176"/>
      <c r="M14" s="174" t="s">
        <v>53</v>
      </c>
      <c r="N14" s="177"/>
      <c r="O14" s="174" t="s">
        <v>54</v>
      </c>
      <c r="P14" s="176"/>
      <c r="Q14" s="174" t="s">
        <v>55</v>
      </c>
      <c r="R14" s="177"/>
      <c r="S14" s="27"/>
      <c r="T14" s="154" t="s">
        <v>77</v>
      </c>
      <c r="U14" s="143"/>
      <c r="V14" s="143"/>
      <c r="W14" s="27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</row>
    <row r="15" spans="1:39" s="11" customFormat="1" ht="18.75" customHeight="1" thickBot="1">
      <c r="A15" s="217" t="s">
        <v>56</v>
      </c>
      <c r="B15" s="218"/>
      <c r="C15" s="165"/>
      <c r="D15" s="164"/>
      <c r="E15" s="165"/>
      <c r="F15" s="165"/>
      <c r="G15" s="165"/>
      <c r="H15" s="164"/>
      <c r="I15" s="165"/>
      <c r="J15" s="165"/>
      <c r="K15" s="165"/>
      <c r="L15" s="164"/>
      <c r="M15" s="165"/>
      <c r="N15" s="165"/>
      <c r="O15" s="165"/>
      <c r="P15" s="164"/>
      <c r="Q15" s="166"/>
      <c r="R15" s="180">
        <v>0</v>
      </c>
      <c r="S15" s="167"/>
      <c r="T15" s="168"/>
      <c r="U15" s="168"/>
      <c r="V15" s="168"/>
      <c r="W15" s="167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9"/>
    </row>
    <row r="16" spans="1:39">
      <c r="B16" s="178"/>
      <c r="C16" s="215"/>
      <c r="D16" s="215"/>
      <c r="E16" s="215"/>
      <c r="F16" s="216"/>
      <c r="G16" s="215"/>
      <c r="H16" s="215"/>
      <c r="I16" s="215"/>
      <c r="J16" s="216"/>
      <c r="K16" s="215"/>
      <c r="L16" s="215"/>
      <c r="M16" s="215"/>
      <c r="N16" s="216"/>
      <c r="O16" s="215"/>
      <c r="P16" s="215"/>
      <c r="Q16" s="215"/>
      <c r="R16" s="181">
        <v>0</v>
      </c>
      <c r="S16" s="163"/>
      <c r="T16" s="170"/>
      <c r="U16" s="170"/>
      <c r="V16" s="170"/>
      <c r="W16" s="163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</row>
    <row r="17" spans="1:39">
      <c r="B17" s="178"/>
      <c r="C17" s="171"/>
      <c r="D17" s="171"/>
      <c r="E17" s="171"/>
      <c r="F17" s="172"/>
      <c r="G17" s="171"/>
      <c r="H17" s="171"/>
      <c r="I17" s="171"/>
      <c r="J17" s="172"/>
      <c r="K17" s="171"/>
      <c r="L17" s="171"/>
      <c r="M17" s="171"/>
      <c r="N17" s="172"/>
      <c r="O17" s="171"/>
      <c r="P17" s="171"/>
      <c r="Q17" s="171"/>
      <c r="R17" s="181">
        <v>0</v>
      </c>
      <c r="S17" s="163"/>
      <c r="T17" s="173"/>
      <c r="U17" s="173"/>
      <c r="V17" s="173"/>
      <c r="W17" s="163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</row>
    <row r="18" spans="1:39">
      <c r="B18" s="178"/>
      <c r="C18" s="171"/>
      <c r="D18" s="171"/>
      <c r="E18" s="171"/>
      <c r="F18" s="172"/>
      <c r="G18" s="171"/>
      <c r="H18" s="171"/>
      <c r="I18" s="171"/>
      <c r="J18" s="172"/>
      <c r="K18" s="171"/>
      <c r="L18" s="171"/>
      <c r="M18" s="171"/>
      <c r="N18" s="172"/>
      <c r="O18" s="171"/>
      <c r="P18" s="171"/>
      <c r="Q18" s="171"/>
      <c r="R18" s="181">
        <v>0</v>
      </c>
      <c r="S18" s="163"/>
      <c r="T18" s="173"/>
      <c r="U18" s="173"/>
      <c r="V18" s="173"/>
      <c r="W18" s="163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</row>
    <row r="19" spans="1:39">
      <c r="B19" s="178"/>
      <c r="C19" s="171"/>
      <c r="D19" s="171"/>
      <c r="E19" s="171"/>
      <c r="F19" s="172"/>
      <c r="G19" s="171"/>
      <c r="H19" s="171"/>
      <c r="I19" s="171"/>
      <c r="J19" s="172"/>
      <c r="K19" s="171"/>
      <c r="L19" s="171"/>
      <c r="M19" s="171"/>
      <c r="N19" s="172"/>
      <c r="O19" s="171"/>
      <c r="P19" s="171"/>
      <c r="Q19" s="171"/>
      <c r="R19" s="181">
        <v>0</v>
      </c>
      <c r="S19" s="163"/>
      <c r="T19" s="173"/>
      <c r="U19" s="173"/>
      <c r="V19" s="173"/>
      <c r="W19" s="163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</row>
    <row r="20" spans="1:39">
      <c r="B20" s="178"/>
      <c r="C20" s="171"/>
      <c r="D20" s="171"/>
      <c r="E20" s="171"/>
      <c r="F20" s="172"/>
      <c r="G20" s="171"/>
      <c r="H20" s="171"/>
      <c r="I20" s="171"/>
      <c r="J20" s="172"/>
      <c r="K20" s="171"/>
      <c r="L20" s="171"/>
      <c r="M20" s="171"/>
      <c r="N20" s="172"/>
      <c r="O20" s="171"/>
      <c r="P20" s="171"/>
      <c r="Q20" s="171"/>
      <c r="R20" s="181">
        <v>0</v>
      </c>
      <c r="S20" s="163"/>
      <c r="T20" s="173"/>
      <c r="U20" s="173"/>
      <c r="V20" s="173"/>
      <c r="W20" s="163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</row>
    <row r="21" spans="1:39">
      <c r="B21" s="178"/>
      <c r="C21" s="171"/>
      <c r="D21" s="171"/>
      <c r="E21" s="171"/>
      <c r="F21" s="172"/>
      <c r="G21" s="171"/>
      <c r="H21" s="171"/>
      <c r="I21" s="171"/>
      <c r="J21" s="172"/>
      <c r="K21" s="171"/>
      <c r="L21" s="171"/>
      <c r="M21" s="171"/>
      <c r="N21" s="172"/>
      <c r="O21" s="171"/>
      <c r="P21" s="171"/>
      <c r="Q21" s="171"/>
      <c r="R21" s="181">
        <v>0</v>
      </c>
      <c r="S21" s="163"/>
      <c r="T21" s="173"/>
      <c r="U21" s="173"/>
      <c r="V21" s="173"/>
      <c r="W21" s="163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</row>
    <row r="22" spans="1:39">
      <c r="B22" s="178"/>
      <c r="C22" s="171"/>
      <c r="D22" s="171"/>
      <c r="E22" s="171"/>
      <c r="F22" s="172"/>
      <c r="G22" s="171"/>
      <c r="H22" s="171"/>
      <c r="I22" s="171"/>
      <c r="J22" s="172"/>
      <c r="K22" s="171"/>
      <c r="L22" s="171"/>
      <c r="M22" s="171"/>
      <c r="N22" s="172"/>
      <c r="O22" s="171"/>
      <c r="P22" s="171"/>
      <c r="Q22" s="171"/>
      <c r="R22" s="181">
        <v>0</v>
      </c>
      <c r="S22" s="163"/>
      <c r="T22" s="173"/>
      <c r="U22" s="173"/>
      <c r="V22" s="173"/>
      <c r="W22" s="163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</row>
    <row r="23" spans="1:39">
      <c r="B23" s="178"/>
      <c r="C23" s="171"/>
      <c r="D23" s="171"/>
      <c r="E23" s="171"/>
      <c r="F23" s="172"/>
      <c r="G23" s="171"/>
      <c r="H23" s="171"/>
      <c r="I23" s="171"/>
      <c r="J23" s="172"/>
      <c r="K23" s="171"/>
      <c r="L23" s="171"/>
      <c r="M23" s="171"/>
      <c r="N23" s="172"/>
      <c r="O23" s="171"/>
      <c r="P23" s="171"/>
      <c r="Q23" s="171"/>
      <c r="R23" s="181">
        <v>0</v>
      </c>
      <c r="S23" s="163"/>
      <c r="T23" s="173"/>
      <c r="U23" s="173"/>
      <c r="V23" s="173"/>
      <c r="W23" s="163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</row>
    <row r="24" spans="1:39">
      <c r="B24" s="179"/>
      <c r="C24" s="171"/>
      <c r="D24" s="171"/>
      <c r="E24" s="171"/>
      <c r="F24" s="172"/>
      <c r="G24" s="171"/>
      <c r="H24" s="171"/>
      <c r="I24" s="171"/>
      <c r="J24" s="172"/>
      <c r="K24" s="171"/>
      <c r="L24" s="171"/>
      <c r="M24" s="171"/>
      <c r="N24" s="172"/>
      <c r="O24" s="171"/>
      <c r="P24" s="171"/>
      <c r="Q24" s="171"/>
      <c r="R24" s="181">
        <v>0</v>
      </c>
      <c r="S24" s="163"/>
      <c r="T24" s="173"/>
      <c r="U24" s="173"/>
      <c r="V24" s="173"/>
      <c r="W24" s="163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</row>
    <row r="25" spans="1:39">
      <c r="B25" s="179"/>
      <c r="C25" s="171"/>
      <c r="D25" s="171"/>
      <c r="E25" s="171"/>
      <c r="F25" s="172"/>
      <c r="G25" s="171"/>
      <c r="H25" s="171"/>
      <c r="I25" s="171"/>
      <c r="J25" s="172"/>
      <c r="K25" s="171"/>
      <c r="L25" s="171"/>
      <c r="M25" s="171"/>
      <c r="N25" s="172"/>
      <c r="O25" s="171"/>
      <c r="P25" s="171"/>
      <c r="Q25" s="171"/>
      <c r="R25" s="181">
        <v>0</v>
      </c>
      <c r="S25" s="163"/>
      <c r="T25" s="173"/>
      <c r="U25" s="173"/>
      <c r="V25" s="173"/>
      <c r="W25" s="163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</row>
    <row r="26" spans="1:39">
      <c r="B26" s="179"/>
      <c r="C26" s="171"/>
      <c r="D26" s="171"/>
      <c r="E26" s="171"/>
      <c r="F26" s="172"/>
      <c r="G26" s="171"/>
      <c r="H26" s="171"/>
      <c r="I26" s="171"/>
      <c r="J26" s="172"/>
      <c r="K26" s="171"/>
      <c r="L26" s="171"/>
      <c r="M26" s="171"/>
      <c r="N26" s="172"/>
      <c r="O26" s="171"/>
      <c r="P26" s="171"/>
      <c r="Q26" s="171"/>
      <c r="R26" s="181">
        <v>0</v>
      </c>
      <c r="S26" s="163"/>
      <c r="T26" s="173"/>
      <c r="U26" s="173"/>
      <c r="V26" s="173"/>
      <c r="W26" s="163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</row>
    <row r="27" spans="1:39">
      <c r="A27" s="12" t="s">
        <v>57</v>
      </c>
      <c r="B27" s="179"/>
      <c r="C27" s="171"/>
      <c r="D27" s="171"/>
      <c r="E27" s="171"/>
      <c r="F27" s="172"/>
      <c r="G27" s="171"/>
      <c r="H27" s="171"/>
      <c r="I27" s="171"/>
      <c r="J27" s="172"/>
      <c r="K27" s="171"/>
      <c r="L27" s="171"/>
      <c r="M27" s="171"/>
      <c r="N27" s="172"/>
      <c r="O27" s="171"/>
      <c r="P27" s="171"/>
      <c r="Q27" s="171"/>
      <c r="R27" s="181">
        <v>0</v>
      </c>
      <c r="S27" s="163"/>
      <c r="T27" s="173"/>
      <c r="U27" s="173"/>
      <c r="V27" s="173"/>
      <c r="W27" s="163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</row>
    <row r="28" spans="1:39">
      <c r="A28" s="12" t="s">
        <v>58</v>
      </c>
      <c r="B28" s="179"/>
      <c r="C28" s="171"/>
      <c r="D28" s="171"/>
      <c r="E28" s="171"/>
      <c r="F28" s="172"/>
      <c r="G28" s="171"/>
      <c r="H28" s="171"/>
      <c r="I28" s="171"/>
      <c r="J28" s="172"/>
      <c r="K28" s="171"/>
      <c r="L28" s="171"/>
      <c r="M28" s="171"/>
      <c r="N28" s="172"/>
      <c r="O28" s="171"/>
      <c r="P28" s="171"/>
      <c r="Q28" s="171"/>
      <c r="R28" s="181">
        <v>0</v>
      </c>
      <c r="S28" s="163"/>
      <c r="T28" s="173"/>
      <c r="U28" s="173"/>
      <c r="V28" s="173"/>
      <c r="W28" s="163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</row>
    <row r="29" spans="1:39">
      <c r="B29" s="179"/>
      <c r="C29" s="171"/>
      <c r="D29" s="171"/>
      <c r="E29" s="171"/>
      <c r="F29" s="172"/>
      <c r="G29" s="171"/>
      <c r="H29" s="171"/>
      <c r="I29" s="171"/>
      <c r="J29" s="172"/>
      <c r="K29" s="171"/>
      <c r="L29" s="171"/>
      <c r="M29" s="171"/>
      <c r="N29" s="172"/>
      <c r="O29" s="171"/>
      <c r="P29" s="171"/>
      <c r="Q29" s="171"/>
      <c r="R29" s="181">
        <v>0</v>
      </c>
      <c r="S29" s="163"/>
      <c r="T29" s="173"/>
      <c r="U29" s="173"/>
      <c r="V29" s="173"/>
      <c r="W29" s="163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</row>
    <row r="30" spans="1:39">
      <c r="B30" s="179"/>
      <c r="C30" s="171"/>
      <c r="D30" s="171"/>
      <c r="E30" s="171"/>
      <c r="F30" s="172"/>
      <c r="G30" s="171"/>
      <c r="H30" s="171"/>
      <c r="I30" s="171"/>
      <c r="J30" s="172"/>
      <c r="K30" s="171"/>
      <c r="L30" s="171"/>
      <c r="M30" s="171"/>
      <c r="N30" s="172"/>
      <c r="O30" s="171"/>
      <c r="P30" s="171"/>
      <c r="Q30" s="171"/>
      <c r="R30" s="181">
        <v>0</v>
      </c>
      <c r="S30" s="163"/>
      <c r="T30" s="173"/>
      <c r="U30" s="173"/>
      <c r="V30" s="173"/>
      <c r="W30" s="163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</row>
    <row r="31" spans="1:39">
      <c r="B31" s="179"/>
      <c r="C31" s="171"/>
      <c r="D31" s="171"/>
      <c r="E31" s="171"/>
      <c r="F31" s="172"/>
      <c r="G31" s="171"/>
      <c r="H31" s="171"/>
      <c r="I31" s="171"/>
      <c r="J31" s="172"/>
      <c r="K31" s="171"/>
      <c r="L31" s="171"/>
      <c r="M31" s="171"/>
      <c r="N31" s="172"/>
      <c r="O31" s="171"/>
      <c r="P31" s="171"/>
      <c r="Q31" s="171"/>
      <c r="R31" s="181">
        <v>0</v>
      </c>
      <c r="S31" s="163"/>
      <c r="T31" s="173"/>
      <c r="U31" s="173"/>
      <c r="V31" s="173"/>
      <c r="W31" s="163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</row>
    <row r="32" spans="1:39">
      <c r="B32" s="179"/>
      <c r="C32" s="171"/>
      <c r="D32" s="171"/>
      <c r="E32" s="171"/>
      <c r="F32" s="172"/>
      <c r="G32" s="171"/>
      <c r="H32" s="171"/>
      <c r="I32" s="171"/>
      <c r="J32" s="172"/>
      <c r="K32" s="171"/>
      <c r="L32" s="171"/>
      <c r="M32" s="171"/>
      <c r="N32" s="172"/>
      <c r="O32" s="171"/>
      <c r="P32" s="171"/>
      <c r="Q32" s="171"/>
      <c r="R32" s="181">
        <v>0</v>
      </c>
      <c r="S32" s="163"/>
      <c r="T32" s="173"/>
      <c r="U32" s="173"/>
      <c r="V32" s="173"/>
      <c r="W32" s="163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</row>
    <row r="33" spans="2:39">
      <c r="B33" s="179"/>
      <c r="C33" s="171"/>
      <c r="D33" s="171"/>
      <c r="E33" s="171"/>
      <c r="F33" s="172"/>
      <c r="G33" s="171"/>
      <c r="H33" s="171"/>
      <c r="I33" s="171"/>
      <c r="J33" s="172"/>
      <c r="K33" s="171"/>
      <c r="L33" s="171"/>
      <c r="M33" s="171"/>
      <c r="N33" s="172"/>
      <c r="O33" s="171"/>
      <c r="P33" s="171"/>
      <c r="Q33" s="171"/>
      <c r="R33" s="181">
        <v>0</v>
      </c>
      <c r="S33" s="163"/>
      <c r="T33" s="173"/>
      <c r="U33" s="173"/>
      <c r="V33" s="173"/>
      <c r="W33" s="163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</row>
    <row r="34" spans="2:39">
      <c r="B34" s="179"/>
      <c r="C34" s="171"/>
      <c r="D34" s="171"/>
      <c r="E34" s="171"/>
      <c r="F34" s="172"/>
      <c r="G34" s="171"/>
      <c r="H34" s="171"/>
      <c r="I34" s="171"/>
      <c r="J34" s="172"/>
      <c r="K34" s="171"/>
      <c r="L34" s="171"/>
      <c r="M34" s="171"/>
      <c r="N34" s="172"/>
      <c r="O34" s="171"/>
      <c r="P34" s="171"/>
      <c r="Q34" s="171"/>
      <c r="R34" s="181">
        <v>0</v>
      </c>
      <c r="S34" s="163"/>
      <c r="T34" s="173"/>
      <c r="U34" s="173"/>
      <c r="V34" s="173"/>
      <c r="W34" s="163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</row>
    <row r="35" spans="2:39">
      <c r="B35" s="179"/>
      <c r="C35" s="171"/>
      <c r="D35" s="171"/>
      <c r="E35" s="171"/>
      <c r="F35" s="172"/>
      <c r="G35" s="171"/>
      <c r="H35" s="171"/>
      <c r="I35" s="171"/>
      <c r="J35" s="172"/>
      <c r="K35" s="171"/>
      <c r="L35" s="171"/>
      <c r="M35" s="171"/>
      <c r="N35" s="172"/>
      <c r="O35" s="171"/>
      <c r="P35" s="171"/>
      <c r="Q35" s="171"/>
      <c r="R35" s="181">
        <v>0</v>
      </c>
      <c r="S35" s="163"/>
      <c r="T35" s="173"/>
      <c r="U35" s="173"/>
      <c r="V35" s="173"/>
      <c r="W35" s="163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</row>
    <row r="36" spans="2:39">
      <c r="B36" s="179"/>
      <c r="C36" s="171"/>
      <c r="D36" s="171"/>
      <c r="E36" s="171"/>
      <c r="F36" s="172"/>
      <c r="G36" s="171"/>
      <c r="H36" s="171"/>
      <c r="I36" s="171"/>
      <c r="J36" s="172"/>
      <c r="K36" s="171"/>
      <c r="L36" s="171"/>
      <c r="M36" s="171"/>
      <c r="N36" s="172"/>
      <c r="O36" s="171"/>
      <c r="P36" s="171"/>
      <c r="Q36" s="171"/>
      <c r="R36" s="181">
        <v>0</v>
      </c>
      <c r="S36" s="163"/>
      <c r="T36" s="173"/>
      <c r="U36" s="173"/>
      <c r="V36" s="173"/>
      <c r="W36" s="163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</row>
    <row r="37" spans="2:39">
      <c r="B37" s="179"/>
      <c r="C37" s="171"/>
      <c r="D37" s="171"/>
      <c r="E37" s="171"/>
      <c r="F37" s="172"/>
      <c r="G37" s="171"/>
      <c r="H37" s="171"/>
      <c r="I37" s="171"/>
      <c r="J37" s="172"/>
      <c r="K37" s="171"/>
      <c r="L37" s="171"/>
      <c r="M37" s="171"/>
      <c r="N37" s="172"/>
      <c r="O37" s="171"/>
      <c r="P37" s="171"/>
      <c r="Q37" s="171"/>
      <c r="R37" s="181">
        <v>0</v>
      </c>
      <c r="S37" s="163"/>
      <c r="T37" s="173"/>
      <c r="U37" s="173"/>
      <c r="V37" s="173"/>
      <c r="W37" s="163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</row>
    <row r="38" spans="2:39">
      <c r="B38" s="179"/>
      <c r="C38" s="171"/>
      <c r="D38" s="171"/>
      <c r="E38" s="171"/>
      <c r="F38" s="172"/>
      <c r="G38" s="171"/>
      <c r="H38" s="171"/>
      <c r="I38" s="171"/>
      <c r="J38" s="172"/>
      <c r="K38" s="171"/>
      <c r="L38" s="171"/>
      <c r="M38" s="171"/>
      <c r="N38" s="172"/>
      <c r="O38" s="171"/>
      <c r="P38" s="171"/>
      <c r="Q38" s="171"/>
      <c r="R38" s="181">
        <v>0</v>
      </c>
      <c r="S38" s="163"/>
      <c r="T38" s="173"/>
      <c r="U38" s="173"/>
      <c r="V38" s="173"/>
      <c r="W38" s="163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</row>
    <row r="39" spans="2:39">
      <c r="B39" s="179"/>
      <c r="C39" s="171"/>
      <c r="D39" s="171"/>
      <c r="E39" s="171"/>
      <c r="F39" s="172"/>
      <c r="G39" s="171"/>
      <c r="H39" s="171"/>
      <c r="I39" s="171"/>
      <c r="J39" s="172"/>
      <c r="K39" s="171"/>
      <c r="L39" s="171"/>
      <c r="M39" s="171"/>
      <c r="N39" s="172"/>
      <c r="O39" s="171"/>
      <c r="P39" s="171"/>
      <c r="Q39" s="171"/>
      <c r="R39" s="181">
        <v>0</v>
      </c>
      <c r="S39" s="163"/>
      <c r="T39" s="173"/>
      <c r="U39" s="173"/>
      <c r="V39" s="173"/>
      <c r="W39" s="163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</row>
    <row r="40" spans="2:39">
      <c r="B40" s="174"/>
      <c r="C40" s="174"/>
      <c r="D40" s="176"/>
      <c r="E40" s="174"/>
      <c r="F40" s="176"/>
      <c r="G40" s="174"/>
      <c r="H40" s="176"/>
      <c r="I40" s="174"/>
      <c r="J40" s="176"/>
      <c r="K40" s="174"/>
      <c r="L40" s="176"/>
      <c r="M40" s="174"/>
      <c r="N40" s="177"/>
      <c r="O40" s="174"/>
      <c r="P40" s="174"/>
      <c r="Q40" s="174"/>
      <c r="R40" s="186"/>
      <c r="S40" s="27"/>
      <c r="W40" s="27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</row>
    <row r="41" spans="2:39">
      <c r="S41" s="27"/>
      <c r="T41" s="185"/>
      <c r="V41" s="185" t="s">
        <v>65</v>
      </c>
    </row>
  </sheetData>
  <sheetProtection password="D141" sheet="1" objects="1" scenarios="1"/>
  <phoneticPr fontId="0" type="noConversion"/>
  <conditionalFormatting sqref="W15:W39">
    <cfRule type="cellIs" dxfId="3" priority="1" stopIfTrue="1" operator="notEqual">
      <formula>""</formula>
    </cfRule>
  </conditionalFormatting>
  <conditionalFormatting sqref="F15:F39 J15:J39 N15:N39">
    <cfRule type="cellIs" dxfId="2" priority="2" stopIfTrue="1" operator="equal">
      <formula>0</formula>
    </cfRule>
    <cfRule type="cellIs" dxfId="1" priority="3" stopIfTrue="1" operator="greaterThanOrEqual">
      <formula>1</formula>
    </cfRule>
  </conditionalFormatting>
  <conditionalFormatting sqref="T15:V39">
    <cfRule type="cellIs" dxfId="0" priority="4" stopIfTrue="1" operator="notEqual">
      <formula>""</formula>
    </cfRule>
  </conditionalFormatting>
  <pageMargins left="0.54" right="0.35" top="0.61" bottom="0.47" header="0.4921259845" footer="0.33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6" r:id="rId4" name="Folge_eintragen">
          <controlPr defaultSize="0" print="0" autoLine="0" r:id="rId5">
            <anchor moveWithCells="1">
              <from>
                <xdr:col>10</xdr:col>
                <xdr:colOff>295275</xdr:colOff>
                <xdr:row>3</xdr:row>
                <xdr:rowOff>19050</xdr:rowOff>
              </from>
              <to>
                <xdr:col>17</xdr:col>
                <xdr:colOff>190500</xdr:colOff>
                <xdr:row>8</xdr:row>
                <xdr:rowOff>9525</xdr:rowOff>
              </to>
            </anchor>
          </controlPr>
        </control>
      </mc:Choice>
      <mc:Fallback>
        <control shapeId="6156" r:id="rId4" name="Folge_eintragen"/>
      </mc:Fallback>
    </mc:AlternateContent>
    <mc:AlternateContent xmlns:mc="http://schemas.openxmlformats.org/markup-compatibility/2006">
      <mc:Choice Requires="x14">
        <control shapeId="6151" r:id="rId6" name="Spielreihenfolge">
          <controlPr defaultSize="0" print="0" autoLine="0" r:id="rId7">
            <anchor moveWithCells="1">
              <from>
                <xdr:col>2</xdr:col>
                <xdr:colOff>28575</xdr:colOff>
                <xdr:row>3</xdr:row>
                <xdr:rowOff>0</xdr:rowOff>
              </from>
              <to>
                <xdr:col>8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6151" r:id="rId6" name="Spielreihenfol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C36"/>
  <sheetViews>
    <sheetView workbookViewId="0">
      <selection activeCell="C15" sqref="C15:E15"/>
    </sheetView>
  </sheetViews>
  <sheetFormatPr baseColWidth="10" defaultRowHeight="12.75"/>
  <cols>
    <col min="1" max="1" width="4.7109375" style="12" customWidth="1"/>
    <col min="2" max="2" width="5.42578125" style="12" customWidth="1"/>
    <col min="3" max="3" width="4" style="12" customWidth="1"/>
    <col min="4" max="4" width="20" style="12" customWidth="1"/>
    <col min="5" max="5" width="3.28515625" style="12" customWidth="1"/>
    <col min="6" max="6" width="8.7109375" style="12" customWidth="1"/>
    <col min="7" max="7" width="7.140625" style="12" customWidth="1"/>
    <col min="8" max="8" width="12" style="12" customWidth="1"/>
    <col min="9" max="9" width="3.5703125" style="12" customWidth="1"/>
    <col min="10" max="10" width="0.5703125" style="12" customWidth="1"/>
    <col min="11" max="11" width="3.5703125" style="12" customWidth="1"/>
    <col min="12" max="12" width="3.42578125" style="12" customWidth="1"/>
    <col min="13" max="13" width="0.5703125" style="12" customWidth="1"/>
    <col min="14" max="15" width="3.5703125" style="12" customWidth="1"/>
    <col min="16" max="16" width="0.5703125" style="12" customWidth="1"/>
    <col min="17" max="18" width="3.5703125" style="12" customWidth="1"/>
    <col min="19" max="19" width="0.5703125" style="12" customWidth="1"/>
    <col min="20" max="21" width="3.5703125" style="12" customWidth="1"/>
    <col min="22" max="22" width="0.5703125" style="12" customWidth="1"/>
    <col min="23" max="23" width="3.5703125" style="12" customWidth="1"/>
    <col min="24" max="29" width="5.85546875" style="12" customWidth="1"/>
    <col min="30" max="30" width="11.42578125" style="12"/>
    <col min="31" max="36" width="3.85546875" style="12" customWidth="1"/>
    <col min="37" max="16384" width="11.42578125" style="12"/>
  </cols>
  <sheetData>
    <row r="1" spans="1:29" ht="9.75" customHeight="1"/>
    <row r="2" spans="1:29" ht="9" customHeight="1"/>
    <row r="3" spans="1:29" ht="19.5" customHeight="1">
      <c r="A3" s="69"/>
      <c r="C3" s="70"/>
      <c r="D3" s="69"/>
      <c r="E3" s="249" t="s">
        <v>40</v>
      </c>
      <c r="F3" s="69"/>
      <c r="L3"/>
      <c r="W3" s="68" t="s">
        <v>4</v>
      </c>
    </row>
    <row r="4" spans="1:29" s="71" customFormat="1" ht="17.25" customHeight="1">
      <c r="B4" s="72"/>
      <c r="C4" s="73"/>
      <c r="D4" s="72"/>
      <c r="E4" s="253"/>
      <c r="F4" s="251" t="s">
        <v>93</v>
      </c>
      <c r="I4" s="74"/>
      <c r="J4" s="74"/>
      <c r="K4" s="74"/>
      <c r="L4" s="74"/>
      <c r="M4" s="74"/>
      <c r="N4" s="74"/>
      <c r="O4" s="74"/>
      <c r="P4" s="74"/>
      <c r="Q4" s="74"/>
      <c r="R4" s="74"/>
      <c r="W4" s="298"/>
      <c r="X4" s="299"/>
      <c r="Y4" s="299"/>
      <c r="Z4" s="299"/>
      <c r="AA4" s="299"/>
      <c r="AB4" s="299"/>
      <c r="AC4" s="300"/>
    </row>
    <row r="5" spans="1:29" ht="17.25" customHeight="1">
      <c r="B5" s="69"/>
      <c r="C5" s="76"/>
      <c r="D5" s="69"/>
      <c r="E5" s="253"/>
      <c r="F5" s="252" t="s">
        <v>94</v>
      </c>
      <c r="H5" s="246"/>
      <c r="I5" s="246"/>
      <c r="J5" s="246"/>
      <c r="K5" s="246"/>
      <c r="L5" s="246"/>
      <c r="M5" s="246"/>
      <c r="N5" s="246"/>
      <c r="O5" s="246"/>
      <c r="P5" s="246"/>
      <c r="Q5" s="246"/>
      <c r="R5" s="246"/>
      <c r="S5" s="246"/>
      <c r="T5" s="246"/>
    </row>
    <row r="6" spans="1:29" ht="17.25" customHeight="1">
      <c r="B6" s="77"/>
      <c r="D6" s="78"/>
      <c r="E6" s="253"/>
      <c r="F6" s="250" t="s">
        <v>95</v>
      </c>
      <c r="I6" s="27"/>
      <c r="J6" s="27"/>
      <c r="K6" s="27"/>
      <c r="L6" s="27"/>
      <c r="M6" s="27"/>
      <c r="N6" s="27"/>
      <c r="O6" s="27"/>
      <c r="P6" s="27"/>
      <c r="Q6" s="27"/>
      <c r="R6" s="27"/>
      <c r="U6" s="75" t="s">
        <v>13</v>
      </c>
      <c r="W6" s="301"/>
      <c r="X6" s="302"/>
      <c r="Y6" s="303"/>
      <c r="AA6" s="75" t="s">
        <v>9</v>
      </c>
      <c r="AB6" s="304"/>
      <c r="AC6" s="303"/>
    </row>
    <row r="7" spans="1:29" s="71" customFormat="1" ht="5.25" customHeight="1">
      <c r="B7" s="75"/>
      <c r="C7" s="79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X7" s="74"/>
      <c r="Y7" s="74"/>
    </row>
    <row r="8" spans="1:29" ht="17.25" customHeight="1">
      <c r="B8" s="80"/>
      <c r="C8" s="81"/>
      <c r="D8" s="247" t="s">
        <v>89</v>
      </c>
      <c r="E8" s="348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50"/>
      <c r="R8" s="246"/>
      <c r="S8" s="246"/>
      <c r="U8" s="247" t="s">
        <v>39</v>
      </c>
      <c r="W8" s="304"/>
      <c r="X8" s="302"/>
      <c r="Y8" s="303"/>
      <c r="AA8" s="75" t="s">
        <v>11</v>
      </c>
      <c r="AB8" s="304"/>
      <c r="AC8" s="303"/>
    </row>
    <row r="9" spans="1:29" ht="9" customHeight="1" thickBot="1"/>
    <row r="10" spans="1:29" ht="12" customHeight="1">
      <c r="A10" s="222" t="s">
        <v>28</v>
      </c>
      <c r="B10" s="223" t="s">
        <v>80</v>
      </c>
      <c r="C10" s="340" t="str">
        <f>IF('Aufstellung Heim'!B4="","Heim",'Aufstellung Heim'!B4)</f>
        <v>Heim</v>
      </c>
      <c r="D10" s="341"/>
      <c r="E10" s="342"/>
      <c r="F10" s="340" t="str">
        <f>IF('Aufstellung Gast'!B4="","Gast",'Aufstellung Gast'!B4)</f>
        <v>Gast</v>
      </c>
      <c r="G10" s="341"/>
      <c r="H10" s="342"/>
      <c r="I10" s="296" t="s">
        <v>30</v>
      </c>
      <c r="J10" s="346"/>
      <c r="K10" s="276"/>
      <c r="L10" s="296" t="s">
        <v>31</v>
      </c>
      <c r="M10" s="346"/>
      <c r="N10" s="276"/>
      <c r="O10" s="296" t="s">
        <v>32</v>
      </c>
      <c r="P10" s="346"/>
      <c r="Q10" s="276"/>
      <c r="R10" s="296" t="s">
        <v>78</v>
      </c>
      <c r="S10" s="346"/>
      <c r="T10" s="276"/>
      <c r="U10" s="296" t="s">
        <v>79</v>
      </c>
      <c r="V10" s="346"/>
      <c r="W10" s="276"/>
      <c r="X10" s="338" t="s">
        <v>33</v>
      </c>
      <c r="Y10" s="338"/>
      <c r="Z10" s="338" t="s">
        <v>34</v>
      </c>
      <c r="AA10" s="338"/>
      <c r="AB10" s="338" t="s">
        <v>28</v>
      </c>
      <c r="AC10" s="339"/>
    </row>
    <row r="11" spans="1:29" ht="12" customHeight="1" thickBot="1">
      <c r="A11" s="224" t="s">
        <v>29</v>
      </c>
      <c r="B11" s="221" t="s">
        <v>81</v>
      </c>
      <c r="C11" s="343"/>
      <c r="D11" s="344"/>
      <c r="E11" s="345"/>
      <c r="F11" s="343"/>
      <c r="G11" s="344"/>
      <c r="H11" s="345"/>
      <c r="I11" s="297"/>
      <c r="J11" s="347"/>
      <c r="K11" s="277"/>
      <c r="L11" s="297"/>
      <c r="M11" s="347"/>
      <c r="N11" s="277"/>
      <c r="O11" s="297"/>
      <c r="P11" s="347"/>
      <c r="Q11" s="277"/>
      <c r="R11" s="297"/>
      <c r="S11" s="347"/>
      <c r="T11" s="277"/>
      <c r="U11" s="297"/>
      <c r="V11" s="347"/>
      <c r="W11" s="277"/>
      <c r="X11" s="82" t="s">
        <v>19</v>
      </c>
      <c r="Y11" s="82" t="s">
        <v>27</v>
      </c>
      <c r="Z11" s="82" t="s">
        <v>19</v>
      </c>
      <c r="AA11" s="82" t="s">
        <v>27</v>
      </c>
      <c r="AB11" s="83" t="s">
        <v>19</v>
      </c>
      <c r="AC11" s="84" t="s">
        <v>27</v>
      </c>
    </row>
    <row r="12" spans="1:29" ht="18.75" customHeight="1">
      <c r="A12" s="284"/>
      <c r="B12" s="286" t="s">
        <v>22</v>
      </c>
      <c r="C12" s="288" t="str">
        <f>IF('Aufstellung Heim'!$C4=1,IF('Aufstellung Heim'!$F3=0,"",'Aufstellung Heim'!$F3),"")</f>
        <v/>
      </c>
      <c r="D12" s="288"/>
      <c r="E12" s="289"/>
      <c r="F12" s="295" t="str">
        <f>IF('Aufstellung Gast'!$C4=1,IF('Aufstellung Gast'!$F3=0,"",'Aufstellung Gast'!$F3),"")</f>
        <v/>
      </c>
      <c r="G12" s="288"/>
      <c r="H12" s="289"/>
      <c r="I12" s="260"/>
      <c r="J12" s="263" t="s">
        <v>1</v>
      </c>
      <c r="K12" s="257"/>
      <c r="L12" s="260"/>
      <c r="M12" s="263" t="s">
        <v>1</v>
      </c>
      <c r="N12" s="257"/>
      <c r="O12" s="260"/>
      <c r="P12" s="263" t="s">
        <v>1</v>
      </c>
      <c r="Q12" s="257"/>
      <c r="R12" s="260"/>
      <c r="S12" s="263" t="s">
        <v>1</v>
      </c>
      <c r="T12" s="257"/>
      <c r="U12" s="260"/>
      <c r="V12" s="263" t="s">
        <v>1</v>
      </c>
      <c r="W12" s="270"/>
      <c r="X12" s="353" t="str">
        <f>IF(I12="","",I12+L12+O12+R12+U12)</f>
        <v/>
      </c>
      <c r="Y12" s="354" t="str">
        <f>IF(I12="","",K12+N12+Q12+T12+W12)</f>
        <v/>
      </c>
      <c r="Z12" s="327" t="str">
        <f>IF(I12="","",IF(I12&gt;K12,1,0)+IF(L12&gt;N12,1,0)+IF(O12&gt;Q12,1,0)+IF(R12&gt;T12,1,0)+IF(U12&gt;W12,1,0))</f>
        <v/>
      </c>
      <c r="AA12" s="305" t="str">
        <f>IF(I12="","",IF(K12&gt;I12,1,0)+IF(N12&gt;L12,1,0)+IF(Q12&gt;O12,1,0)+IF(T12&gt;R12,1,0)+IF(W12&gt;U12,1,0))</f>
        <v/>
      </c>
      <c r="AB12" s="278" t="str">
        <f>IF(OR(Z12=3,AA12=3),IF(Z12&gt;AA12,1,0),"")</f>
        <v/>
      </c>
      <c r="AC12" s="290" t="str">
        <f>IF(OR(Z12=3,AA12=3),IF(Z12&lt;AA12,1,0),"")</f>
        <v/>
      </c>
    </row>
    <row r="13" spans="1:29" ht="18.75" customHeight="1" thickBot="1">
      <c r="A13" s="330"/>
      <c r="B13" s="331"/>
      <c r="C13" s="335" t="str">
        <f>IF('Aufstellung Heim'!$C4=1,IF('Aufstellung Heim'!$F4=0,"",'Aufstellung Heim'!$F4),"")</f>
        <v/>
      </c>
      <c r="D13" s="335"/>
      <c r="E13" s="336"/>
      <c r="F13" s="337" t="str">
        <f>IF('Aufstellung Gast'!$C4=1,IF('Aufstellung Gast'!$F4=0,"",'Aufstellung Gast'!$F4),"")</f>
        <v/>
      </c>
      <c r="G13" s="335"/>
      <c r="H13" s="336"/>
      <c r="I13" s="259"/>
      <c r="J13" s="262"/>
      <c r="K13" s="256"/>
      <c r="L13" s="259"/>
      <c r="M13" s="262"/>
      <c r="N13" s="256"/>
      <c r="O13" s="259"/>
      <c r="P13" s="262"/>
      <c r="Q13" s="256"/>
      <c r="R13" s="259"/>
      <c r="S13" s="262"/>
      <c r="T13" s="256"/>
      <c r="U13" s="259"/>
      <c r="V13" s="262"/>
      <c r="W13" s="328"/>
      <c r="X13" s="329"/>
      <c r="Y13" s="310"/>
      <c r="Z13" s="327"/>
      <c r="AA13" s="305"/>
      <c r="AB13" s="307"/>
      <c r="AC13" s="309"/>
    </row>
    <row r="14" spans="1:29" ht="18.75" customHeight="1">
      <c r="A14" s="284"/>
      <c r="B14" s="286" t="s">
        <v>25</v>
      </c>
      <c r="C14" s="288" t="str">
        <f>IF('Aufstellung Heim'!$C4=1,IF('Aufstellung Heim'!$G28=0,"",'Aufstellung Heim'!$G28),"")</f>
        <v/>
      </c>
      <c r="D14" s="288"/>
      <c r="E14" s="289"/>
      <c r="F14" s="295" t="str">
        <f>IF('Aufstellung Gast'!$C4=1,IF('Aufstellung Gast'!$G28=0,"",'Aufstellung Gast'!$G28),"")</f>
        <v/>
      </c>
      <c r="G14" s="288"/>
      <c r="H14" s="289"/>
      <c r="I14" s="260"/>
      <c r="J14" s="263" t="s">
        <v>1</v>
      </c>
      <c r="K14" s="257"/>
      <c r="L14" s="260"/>
      <c r="M14" s="263" t="s">
        <v>1</v>
      </c>
      <c r="N14" s="257"/>
      <c r="O14" s="260"/>
      <c r="P14" s="263" t="s">
        <v>1</v>
      </c>
      <c r="Q14" s="257"/>
      <c r="R14" s="260"/>
      <c r="S14" s="263" t="s">
        <v>1</v>
      </c>
      <c r="T14" s="257"/>
      <c r="U14" s="260"/>
      <c r="V14" s="263" t="s">
        <v>1</v>
      </c>
      <c r="W14" s="270"/>
      <c r="X14" s="272" t="str">
        <f>IF(I14="","",I14+L14+O14+R14+U14)</f>
        <v/>
      </c>
      <c r="Y14" s="274" t="str">
        <f>IF(I14="","",K14+N14+Q14+T14+W14)</f>
        <v/>
      </c>
      <c r="Z14" s="276" t="str">
        <f>IF(I14="","",IF(I14&gt;K14,1,0)+IF(L14&gt;N14,1,0)+IF(O14&gt;Q14,1,0)+IF(R14&gt;T14,1,0)+IF(U14&gt;W14,1,0))</f>
        <v/>
      </c>
      <c r="AA14" s="296" t="str">
        <f>IF(I14="","",IF(K14&gt;I14,1,0)+IF(N14&gt;L14,1,0)+IF(Q14&gt;O14,1,0)+IF(T14&gt;R14,1,0)+IF(W14&gt;U14,1,0))</f>
        <v/>
      </c>
      <c r="AB14" s="278" t="str">
        <f>IF(OR(Z14=3,AA14=3),IF(Z14&gt;AA14,1,0),"")</f>
        <v/>
      </c>
      <c r="AC14" s="290" t="str">
        <f>IF(OR(Z14=3,AA14=3),IF(Z14&lt;AA14,1,0),"")</f>
        <v/>
      </c>
    </row>
    <row r="15" spans="1:29" ht="18.75" customHeight="1" thickBot="1">
      <c r="A15" s="285"/>
      <c r="B15" s="287"/>
      <c r="C15" s="292" t="str">
        <f>IF('Aufstellung Heim'!$C4=1,IF('Aufstellung Heim'!$G29=0,"",'Aufstellung Heim'!$G29),"")</f>
        <v/>
      </c>
      <c r="D15" s="292"/>
      <c r="E15" s="293"/>
      <c r="F15" s="294" t="str">
        <f>IF('Aufstellung Gast'!$C4=1,IF('Aufstellung Gast'!$G29=0,"",'Aufstellung Gast'!$G29),"")</f>
        <v/>
      </c>
      <c r="G15" s="292"/>
      <c r="H15" s="293"/>
      <c r="I15" s="261"/>
      <c r="J15" s="264"/>
      <c r="K15" s="258"/>
      <c r="L15" s="261"/>
      <c r="M15" s="264"/>
      <c r="N15" s="258"/>
      <c r="O15" s="261"/>
      <c r="P15" s="264"/>
      <c r="Q15" s="258"/>
      <c r="R15" s="261"/>
      <c r="S15" s="264"/>
      <c r="T15" s="258"/>
      <c r="U15" s="261"/>
      <c r="V15" s="264"/>
      <c r="W15" s="271"/>
      <c r="X15" s="273"/>
      <c r="Y15" s="275"/>
      <c r="Z15" s="277"/>
      <c r="AA15" s="297"/>
      <c r="AB15" s="279"/>
      <c r="AC15" s="291"/>
    </row>
    <row r="16" spans="1:29" ht="18.75" customHeight="1">
      <c r="A16" s="330"/>
      <c r="B16" s="331" t="s">
        <v>23</v>
      </c>
      <c r="C16" s="332" t="str">
        <f>IF('Aufstellung Heim'!$C4=1,IF('Aufstellung Heim'!$G3=0,"",'Aufstellung Heim'!$G3),"")</f>
        <v/>
      </c>
      <c r="D16" s="332"/>
      <c r="E16" s="333"/>
      <c r="F16" s="334" t="str">
        <f>IF('Aufstellung Gast'!$C4=1,IF('Aufstellung Gast'!$G3=0,"",'Aufstellung Gast'!$G3),"")</f>
        <v/>
      </c>
      <c r="G16" s="332"/>
      <c r="H16" s="333"/>
      <c r="I16" s="259"/>
      <c r="J16" s="262" t="s">
        <v>1</v>
      </c>
      <c r="K16" s="256"/>
      <c r="L16" s="259"/>
      <c r="M16" s="262" t="s">
        <v>1</v>
      </c>
      <c r="N16" s="256"/>
      <c r="O16" s="259"/>
      <c r="P16" s="262" t="s">
        <v>1</v>
      </c>
      <c r="Q16" s="256"/>
      <c r="R16" s="259"/>
      <c r="S16" s="262" t="s">
        <v>1</v>
      </c>
      <c r="T16" s="256"/>
      <c r="U16" s="259"/>
      <c r="V16" s="262" t="s">
        <v>1</v>
      </c>
      <c r="W16" s="328"/>
      <c r="X16" s="329" t="str">
        <f>IF(I16="","",I16+L16+O16+R16+U16)</f>
        <v/>
      </c>
      <c r="Y16" s="310" t="str">
        <f>IF(I16="","",K16+N16+Q16+T16+W16)</f>
        <v/>
      </c>
      <c r="Z16" s="327" t="str">
        <f>IF(I16="","",IF(I16&gt;K16,1,0)+IF(L16&gt;N16,1,0)+IF(O16&gt;Q16,1,0)+IF(R16&gt;T16,1,0)+IF(U16&gt;W16,1,0))</f>
        <v/>
      </c>
      <c r="AA16" s="305" t="str">
        <f>IF(I16="","",IF(K16&gt;I16,1,0)+IF(N16&gt;L16,1,0)+IF(Q16&gt;O16,1,0)+IF(T16&gt;R16,1,0)+IF(W16&gt;U16,1,0))</f>
        <v/>
      </c>
      <c r="AB16" s="306" t="str">
        <f>IF(OR(Z16=3,AA16=3),IF(Z16&gt;AA16,1,0),"")</f>
        <v/>
      </c>
      <c r="AC16" s="308" t="str">
        <f>IF(OR(Z16=3,AA16=3),IF(Z16&lt;AA16,1,0),"")</f>
        <v/>
      </c>
    </row>
    <row r="17" spans="1:29" ht="18.75" customHeight="1" thickBot="1">
      <c r="A17" s="330"/>
      <c r="B17" s="331"/>
      <c r="C17" s="335" t="str">
        <f>IF('Aufstellung Heim'!$C4=1,IF('Aufstellung Heim'!$G4=0,"",'Aufstellung Heim'!$G4),"")</f>
        <v/>
      </c>
      <c r="D17" s="335"/>
      <c r="E17" s="336"/>
      <c r="F17" s="337" t="str">
        <f>IF('Aufstellung Gast'!$C4=1,IF('Aufstellung Gast'!$G4=0,"",'Aufstellung Gast'!$G4),"")</f>
        <v/>
      </c>
      <c r="G17" s="335"/>
      <c r="H17" s="336"/>
      <c r="I17" s="259"/>
      <c r="J17" s="262"/>
      <c r="K17" s="256"/>
      <c r="L17" s="259"/>
      <c r="M17" s="262"/>
      <c r="N17" s="256"/>
      <c r="O17" s="259"/>
      <c r="P17" s="262"/>
      <c r="Q17" s="256"/>
      <c r="R17" s="259"/>
      <c r="S17" s="262"/>
      <c r="T17" s="256"/>
      <c r="U17" s="259"/>
      <c r="V17" s="262"/>
      <c r="W17" s="328"/>
      <c r="X17" s="329"/>
      <c r="Y17" s="310"/>
      <c r="Z17" s="327"/>
      <c r="AA17" s="305"/>
      <c r="AB17" s="307"/>
      <c r="AC17" s="309"/>
    </row>
    <row r="18" spans="1:29" ht="18.75" customHeight="1" thickBot="1">
      <c r="A18" s="254"/>
      <c r="B18" s="244" t="s">
        <v>20</v>
      </c>
      <c r="C18" s="267" t="str">
        <f>IF('Aufstellung Heim'!$C4=1,IF('Aufstellung Heim'!$D3=0,"",'Aufstellung Heim'!$D3),"")</f>
        <v/>
      </c>
      <c r="D18" s="267"/>
      <c r="E18" s="268"/>
      <c r="F18" s="269" t="str">
        <f>IF('Aufstellung Gast'!$C4=1,IF('Aufstellung Gast'!$D3=0,"",'Aufstellung Gast'!$D3),"")</f>
        <v/>
      </c>
      <c r="G18" s="267"/>
      <c r="H18" s="268"/>
      <c r="I18" s="225"/>
      <c r="J18" s="226" t="s">
        <v>1</v>
      </c>
      <c r="K18" s="227"/>
      <c r="L18" s="225"/>
      <c r="M18" s="226" t="s">
        <v>1</v>
      </c>
      <c r="N18" s="227"/>
      <c r="O18" s="225"/>
      <c r="P18" s="226" t="s">
        <v>1</v>
      </c>
      <c r="Q18" s="227"/>
      <c r="R18" s="225"/>
      <c r="S18" s="226" t="s">
        <v>1</v>
      </c>
      <c r="T18" s="227"/>
      <c r="U18" s="225"/>
      <c r="V18" s="226" t="s">
        <v>1</v>
      </c>
      <c r="W18" s="228"/>
      <c r="X18" s="87" t="str">
        <f>IF(I18="","",I18+L18+O18+R18+U18)</f>
        <v/>
      </c>
      <c r="Y18" s="89" t="str">
        <f>IF(I18="","",K18+N18+Q18+T18+W18)</f>
        <v/>
      </c>
      <c r="Z18" s="229" t="str">
        <f>IF(I18="","",IF(I18&gt;K18,1,0)+IF(L18&gt;N18,1,0)+IF(O18&gt;Q18,1,0)+IF(R18&gt;T18,1,0)+IF(U18&gt;W18,1,0))</f>
        <v/>
      </c>
      <c r="AA18" s="88" t="str">
        <f>IF(I18="","",IF(K18&gt;I18,1,0)+IF(N18&gt;L18,1,0)+IF(Q18&gt;O18,1,0)+IF(T18&gt;R18,1,0)+IF(W18&gt;U18,1,0))</f>
        <v/>
      </c>
      <c r="AB18" s="230" t="str">
        <f>IF(OR(Z18=3,AA18=3),IF(Z18&gt;AA18,1,0),"")</f>
        <v/>
      </c>
      <c r="AC18" s="231" t="str">
        <f>IF(OR(Z18=3,AA18=3),IF(Z18&lt;AA18,1,0),"")</f>
        <v/>
      </c>
    </row>
    <row r="19" spans="1:29" ht="18.75" customHeight="1" thickBot="1">
      <c r="A19" s="255"/>
      <c r="B19" s="245" t="s">
        <v>24</v>
      </c>
      <c r="C19" s="281" t="str">
        <f>IF('Aufstellung Heim'!$C4=1,IF('Aufstellung Heim'!$F28=0,"",'Aufstellung Heim'!$F28),"")</f>
        <v/>
      </c>
      <c r="D19" s="281"/>
      <c r="E19" s="282"/>
      <c r="F19" s="283" t="str">
        <f>IF('Aufstellung Gast'!$C4=1,IF('Aufstellung Gast'!$F28=0,"",'Aufstellung Gast'!$F28),"")</f>
        <v/>
      </c>
      <c r="G19" s="281"/>
      <c r="H19" s="282"/>
      <c r="I19" s="232"/>
      <c r="J19" s="233" t="s">
        <v>1</v>
      </c>
      <c r="K19" s="234"/>
      <c r="L19" s="232"/>
      <c r="M19" s="233" t="s">
        <v>1</v>
      </c>
      <c r="N19" s="234"/>
      <c r="O19" s="232"/>
      <c r="P19" s="233" t="s">
        <v>1</v>
      </c>
      <c r="Q19" s="234"/>
      <c r="R19" s="232"/>
      <c r="S19" s="233" t="s">
        <v>1</v>
      </c>
      <c r="T19" s="234"/>
      <c r="U19" s="232"/>
      <c r="V19" s="233" t="s">
        <v>1</v>
      </c>
      <c r="W19" s="235"/>
      <c r="X19" s="236" t="str">
        <f>IF(I19="","",I19+L19+O19+R19+U19)</f>
        <v/>
      </c>
      <c r="Y19" s="237" t="str">
        <f>IF(I19="","",K19+N19+Q19+T19+W19)</f>
        <v/>
      </c>
      <c r="Z19" s="238" t="str">
        <f>IF(I19="","",IF(I19&gt;K19,1,0)+IF(L19&gt;N19,1,0)+IF(O19&gt;Q19,1,0)+IF(R19&gt;T19,1,0)+IF(U19&gt;W19,1,0))</f>
        <v/>
      </c>
      <c r="AA19" s="239" t="str">
        <f>IF(I19="","",IF(K19&gt;I19,1,0)+IF(N19&gt;L19,1,0)+IF(Q19&gt;O19,1,0)+IF(T19&gt;R19,1,0)+IF(W19&gt;U19,1,0))</f>
        <v/>
      </c>
      <c r="AB19" s="240" t="str">
        <f>IF(OR(Z19=3,AA19=3),IF(Z19&gt;AA19,1,0),"")</f>
        <v/>
      </c>
      <c r="AC19" s="241" t="str">
        <f>IF(OR(Z19=3,AA19=3),IF(Z19&lt;AA19,1,0),"")</f>
        <v/>
      </c>
    </row>
    <row r="20" spans="1:29" ht="18.75" customHeight="1">
      <c r="A20" s="284"/>
      <c r="B20" s="286" t="s">
        <v>0</v>
      </c>
      <c r="C20" s="288" t="str">
        <f>IF('Aufstellung Heim'!$C4=1,IF('Aufstellung Heim'!$H3=0,"",'Aufstellung Heim'!$H3),"")</f>
        <v/>
      </c>
      <c r="D20" s="288"/>
      <c r="E20" s="289"/>
      <c r="F20" s="295" t="str">
        <f>IF('Aufstellung Gast'!$C4=1,IF('Aufstellung Gast'!$H3=0,"",'Aufstellung Gast'!$H3),"")</f>
        <v/>
      </c>
      <c r="G20" s="288"/>
      <c r="H20" s="289"/>
      <c r="I20" s="260"/>
      <c r="J20" s="263" t="s">
        <v>1</v>
      </c>
      <c r="K20" s="257"/>
      <c r="L20" s="260"/>
      <c r="M20" s="263" t="s">
        <v>1</v>
      </c>
      <c r="N20" s="257"/>
      <c r="O20" s="260"/>
      <c r="P20" s="263" t="s">
        <v>1</v>
      </c>
      <c r="Q20" s="257"/>
      <c r="R20" s="260"/>
      <c r="S20" s="263" t="s">
        <v>1</v>
      </c>
      <c r="T20" s="257"/>
      <c r="U20" s="260"/>
      <c r="V20" s="263" t="s">
        <v>1</v>
      </c>
      <c r="W20" s="270"/>
      <c r="X20" s="272" t="str">
        <f>IF(I20="","",I20+L20+O20+R20+U20)</f>
        <v/>
      </c>
      <c r="Y20" s="274" t="str">
        <f>IF(I20="","",K20+N20+Q20+T20+W20)</f>
        <v/>
      </c>
      <c r="Z20" s="276" t="str">
        <f>IF(I20="","",IF(I20&gt;K20,1,0)+IF(L20&gt;N20,1,0)+IF(O20&gt;Q20,1,0)+IF(R20&gt;T20,1,0)+IF(U20&gt;W20,1,0))</f>
        <v/>
      </c>
      <c r="AA20" s="296" t="str">
        <f>IF(I20="","",IF(K20&gt;I20,1,0)+IF(N20&gt;L20,1,0)+IF(Q20&gt;O20,1,0)+IF(T20&gt;R20,1,0)+IF(W20&gt;U20,1,0))</f>
        <v/>
      </c>
      <c r="AB20" s="278" t="str">
        <f>IF(OR(Z20=3,AA20=3),IF(Z20&gt;AA20,1,0),"")</f>
        <v/>
      </c>
      <c r="AC20" s="290" t="str">
        <f>IF(OR(Z20=3,AA20=3),IF(Z20&lt;AA20,1,0),"")</f>
        <v/>
      </c>
    </row>
    <row r="21" spans="1:29" ht="18.75" customHeight="1" thickBot="1">
      <c r="A21" s="285"/>
      <c r="B21" s="287"/>
      <c r="C21" s="292" t="str">
        <f>IF('Aufstellung Heim'!$C4=1,IF('Aufstellung Heim'!$H28=0,"",'Aufstellung Heim'!$H28),"")</f>
        <v/>
      </c>
      <c r="D21" s="292"/>
      <c r="E21" s="293"/>
      <c r="F21" s="294" t="str">
        <f>IF('Aufstellung Gast'!$C4=1,IF('Aufstellung Gast'!$H28=0,"",'Aufstellung Gast'!$H28),"")</f>
        <v/>
      </c>
      <c r="G21" s="292"/>
      <c r="H21" s="293"/>
      <c r="I21" s="261"/>
      <c r="J21" s="264"/>
      <c r="K21" s="258"/>
      <c r="L21" s="261"/>
      <c r="M21" s="264"/>
      <c r="N21" s="258"/>
      <c r="O21" s="261"/>
      <c r="P21" s="264"/>
      <c r="Q21" s="258"/>
      <c r="R21" s="261"/>
      <c r="S21" s="264"/>
      <c r="T21" s="258"/>
      <c r="U21" s="261"/>
      <c r="V21" s="264"/>
      <c r="W21" s="271"/>
      <c r="X21" s="273"/>
      <c r="Y21" s="275"/>
      <c r="Z21" s="277"/>
      <c r="AA21" s="297"/>
      <c r="AB21" s="279"/>
      <c r="AC21" s="291"/>
    </row>
    <row r="22" spans="1:29" ht="18.75" customHeight="1" thickBot="1">
      <c r="A22" s="254"/>
      <c r="B22" s="244" t="s">
        <v>21</v>
      </c>
      <c r="C22" s="267" t="str">
        <f>IF('Aufstellung Heim'!$C4=1,IF('Aufstellung Heim'!$E3=0,"",'Aufstellung Heim'!$E3),"")</f>
        <v/>
      </c>
      <c r="D22" s="267"/>
      <c r="E22" s="268"/>
      <c r="F22" s="269" t="str">
        <f>IF('Aufstellung Gast'!$C4=1,IF('Aufstellung Gast'!$E3=0,"",'Aufstellung Gast'!$E3),"")</f>
        <v/>
      </c>
      <c r="G22" s="267"/>
      <c r="H22" s="268"/>
      <c r="I22" s="225"/>
      <c r="J22" s="226" t="s">
        <v>1</v>
      </c>
      <c r="K22" s="227"/>
      <c r="L22" s="225"/>
      <c r="M22" s="226" t="s">
        <v>1</v>
      </c>
      <c r="N22" s="227"/>
      <c r="O22" s="225"/>
      <c r="P22" s="226" t="s">
        <v>1</v>
      </c>
      <c r="Q22" s="227"/>
      <c r="R22" s="225"/>
      <c r="S22" s="226" t="s">
        <v>1</v>
      </c>
      <c r="T22" s="227"/>
      <c r="U22" s="225"/>
      <c r="V22" s="226" t="s">
        <v>1</v>
      </c>
      <c r="W22" s="228"/>
      <c r="X22" s="87" t="str">
        <f>IF(I22="","",I22+L22+O22+R22+U22)</f>
        <v/>
      </c>
      <c r="Y22" s="89" t="str">
        <f>IF(I22="","",K22+N22+Q22+T22+W22)</f>
        <v/>
      </c>
      <c r="Z22" s="229" t="str">
        <f>IF(I22="","",IF(I22&gt;K22,1,0)+IF(L22&gt;N22,1,0)+IF(O22&gt;Q22,1,0)+IF(R22&gt;T22,1,0)+IF(U22&gt;W22,1,0))</f>
        <v/>
      </c>
      <c r="AA22" s="88" t="str">
        <f>IF(I22="","",IF(K22&gt;I22,1,0)+IF(N22&gt;L22,1,0)+IF(Q22&gt;O22,1,0)+IF(T22&gt;R22,1,0)+IF(W22&gt;U22,1,0))</f>
        <v/>
      </c>
      <c r="AB22" s="230" t="str">
        <f>IF(OR(Z22=3,AA22=3),IF(Z22&gt;AA22,1,0),"")</f>
        <v/>
      </c>
      <c r="AC22" s="231" t="str">
        <f>IF(OR(Z22=3,AA22=3),IF(Z22&lt;AA22,1,0),"")</f>
        <v/>
      </c>
    </row>
    <row r="23" spans="1:29" ht="21" customHeight="1" thickBot="1">
      <c r="A23" s="351" t="s">
        <v>35</v>
      </c>
      <c r="B23" s="352"/>
      <c r="C23" s="313" t="str">
        <f>IF(OR(AB23="",AC23=""),"",IF(AB23+AC23&lt;7,"",IF(AB23&gt;AC23,C10,IF(AB23&lt;AC23,F10,"unentschieden"))))</f>
        <v/>
      </c>
      <c r="D23" s="314"/>
      <c r="E23" s="314"/>
      <c r="F23" s="314"/>
      <c r="G23" s="314"/>
      <c r="H23" s="315"/>
      <c r="I23" s="220"/>
      <c r="J23" s="220"/>
      <c r="K23" s="220"/>
      <c r="L23" s="220"/>
      <c r="M23" s="220"/>
      <c r="N23" s="220"/>
      <c r="O23" s="85"/>
      <c r="P23" s="85"/>
      <c r="Q23" s="85"/>
      <c r="R23" s="85"/>
      <c r="S23" s="27"/>
      <c r="T23" s="27"/>
      <c r="W23" s="86"/>
      <c r="X23" s="242" t="str">
        <f>IF(O12="","",SUM(X12:X22))</f>
        <v/>
      </c>
      <c r="Y23" s="219" t="str">
        <f>IF(O12="","",SUM(Y12:Y22))</f>
        <v/>
      </c>
      <c r="Z23" s="242" t="str">
        <f>IF(O12="","",SUM(Z12:Z22))</f>
        <v/>
      </c>
      <c r="AA23" s="243" t="str">
        <f>IF(O12="","",SUM(AA12:AA22))</f>
        <v/>
      </c>
      <c r="AB23" s="90">
        <f>SUM(AB12:AB22)</f>
        <v>0</v>
      </c>
      <c r="AC23" s="91">
        <f>SUM(AC12:AC22)</f>
        <v>0</v>
      </c>
    </row>
    <row r="24" spans="1:29" ht="18.75" customHeight="1">
      <c r="A24" s="106" t="s">
        <v>47</v>
      </c>
      <c r="O24" s="27"/>
      <c r="P24" s="27"/>
      <c r="Q24" s="27"/>
      <c r="R24" s="27"/>
    </row>
    <row r="25" spans="1:29" ht="18" customHeight="1">
      <c r="A25" s="317" t="str">
        <f>CONCATENATE('Aufstellung Heim'!B16,"   ",'Aufstellung Heim'!B17,"   ",'Aufstellung Heim'!B25,"   ",'Aufstellung Heim'!B26,"   ",'Aufstellung Gast'!B16,"   ",'Aufstellung Gast'!B17,"   ",'Aufstellung Gast'!B25,"   ",'Aufstellung Gast'!B26)</f>
        <v xml:space="preserve">                     </v>
      </c>
      <c r="B25" s="318"/>
      <c r="C25" s="318"/>
      <c r="D25" s="318"/>
      <c r="E25" s="318"/>
      <c r="F25" s="318"/>
      <c r="G25" s="318"/>
      <c r="H25" s="318"/>
      <c r="I25" s="318"/>
      <c r="J25" s="318"/>
      <c r="K25" s="318"/>
      <c r="L25" s="318"/>
      <c r="M25" s="318"/>
      <c r="N25" s="318"/>
      <c r="O25" s="318"/>
      <c r="P25" s="318"/>
      <c r="Q25" s="318"/>
      <c r="R25" s="318"/>
      <c r="S25" s="318"/>
      <c r="T25" s="318"/>
      <c r="U25" s="318"/>
      <c r="V25" s="318"/>
      <c r="W25" s="318"/>
      <c r="X25" s="318"/>
      <c r="Y25" s="318"/>
      <c r="Z25" s="318"/>
      <c r="AA25" s="318"/>
      <c r="AB25" s="318"/>
      <c r="AC25" s="319"/>
    </row>
    <row r="26" spans="1:29" ht="15" customHeight="1">
      <c r="A26" s="106" t="s">
        <v>36</v>
      </c>
    </row>
    <row r="27" spans="1:29" ht="15" customHeight="1">
      <c r="A27" s="280"/>
      <c r="B27" s="280"/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</row>
    <row r="28" spans="1:29" ht="15" customHeight="1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0"/>
      <c r="T28" s="280"/>
      <c r="U28" s="280"/>
      <c r="V28" s="280"/>
      <c r="W28" s="280"/>
      <c r="X28" s="280"/>
      <c r="Y28" s="280"/>
      <c r="Z28" s="280"/>
      <c r="AA28" s="280"/>
      <c r="AB28" s="280"/>
      <c r="AC28" s="280"/>
    </row>
    <row r="29" spans="1:29" ht="15" customHeight="1">
      <c r="A29" s="109" t="s">
        <v>90</v>
      </c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 t="s">
        <v>41</v>
      </c>
      <c r="AB29" s="27"/>
      <c r="AC29" s="27"/>
    </row>
    <row r="30" spans="1:29" ht="15" customHeight="1">
      <c r="A30" s="320"/>
      <c r="B30" s="320"/>
      <c r="C30" s="320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21"/>
      <c r="AB30" s="322"/>
      <c r="AC30" s="323"/>
    </row>
    <row r="31" spans="1:29" ht="15" customHeight="1">
      <c r="A31" s="280"/>
      <c r="B31" s="280"/>
      <c r="C31" s="280"/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  <c r="P31" s="280"/>
      <c r="Q31" s="280"/>
      <c r="R31" s="280"/>
      <c r="S31" s="280"/>
      <c r="T31" s="280"/>
      <c r="U31" s="280"/>
      <c r="V31" s="280"/>
      <c r="W31" s="280"/>
      <c r="X31" s="280"/>
      <c r="Y31" s="280"/>
      <c r="Z31" s="280"/>
      <c r="AA31" s="324"/>
      <c r="AB31" s="325"/>
      <c r="AC31" s="326"/>
    </row>
    <row r="32" spans="1:29" s="93" customFormat="1" ht="18" customHeight="1">
      <c r="A32" s="92" t="s">
        <v>92</v>
      </c>
      <c r="C32" s="92"/>
      <c r="D32" s="92"/>
      <c r="E32" s="92"/>
      <c r="F32" s="92"/>
      <c r="I32" s="92"/>
      <c r="J32" s="92"/>
      <c r="K32" s="92"/>
      <c r="L32" s="248" t="s">
        <v>91</v>
      </c>
      <c r="M32" s="248"/>
      <c r="N32" s="248"/>
      <c r="O32" s="248" t="s">
        <v>96</v>
      </c>
      <c r="P32" s="248"/>
      <c r="Q32" s="248"/>
      <c r="R32" s="248"/>
      <c r="S32" s="248"/>
      <c r="T32" s="248"/>
      <c r="U32" s="248"/>
      <c r="V32" s="92"/>
      <c r="W32" s="92"/>
      <c r="X32" s="92"/>
      <c r="Y32" s="92"/>
      <c r="Z32" s="92"/>
      <c r="AA32" s="92"/>
      <c r="AB32" s="92"/>
      <c r="AC32" s="92"/>
    </row>
    <row r="33" spans="1:29" s="70" customFormat="1" ht="9.75" customHeight="1">
      <c r="A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</row>
    <row r="34" spans="1:29" s="71" customFormat="1" ht="15.75" customHeight="1">
      <c r="E34" s="68" t="s">
        <v>82</v>
      </c>
      <c r="L34" s="71" t="s">
        <v>37</v>
      </c>
      <c r="Y34" s="71" t="s">
        <v>38</v>
      </c>
    </row>
    <row r="35" spans="1:29" s="97" customFormat="1" ht="18.75" customHeight="1">
      <c r="A35" s="311"/>
      <c r="B35" s="312"/>
      <c r="C35" s="95"/>
      <c r="D35" s="96" t="s">
        <v>42</v>
      </c>
      <c r="E35" s="316"/>
      <c r="F35" s="265"/>
      <c r="G35" s="265"/>
      <c r="H35" s="265"/>
      <c r="I35" s="316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6"/>
      <c r="X35" s="265"/>
      <c r="Y35" s="265"/>
      <c r="Z35" s="265"/>
      <c r="AA35" s="265"/>
      <c r="AB35" s="265"/>
      <c r="AC35" s="266"/>
    </row>
    <row r="36" spans="1:29" ht="12" customHeight="1">
      <c r="O36" s="27"/>
      <c r="P36" s="27"/>
      <c r="Q36" s="27"/>
    </row>
  </sheetData>
  <mergeCells count="142">
    <mergeCell ref="E8:Q8"/>
    <mergeCell ref="A23:B23"/>
    <mergeCell ref="I35:W35"/>
    <mergeCell ref="X10:Y10"/>
    <mergeCell ref="V12:V13"/>
    <mergeCell ref="W12:W13"/>
    <mergeCell ref="C13:E13"/>
    <mergeCell ref="F13:H13"/>
    <mergeCell ref="X12:X13"/>
    <mergeCell ref="Y12:Y13"/>
    <mergeCell ref="AB12:AB13"/>
    <mergeCell ref="AC12:AC13"/>
    <mergeCell ref="Z10:AA10"/>
    <mergeCell ref="C10:E11"/>
    <mergeCell ref="F10:H11"/>
    <mergeCell ref="O10:Q11"/>
    <mergeCell ref="R10:T11"/>
    <mergeCell ref="U10:W11"/>
    <mergeCell ref="I10:K11"/>
    <mergeCell ref="L10:N11"/>
    <mergeCell ref="Z12:Z13"/>
    <mergeCell ref="AA12:AA13"/>
    <mergeCell ref="T12:T13"/>
    <mergeCell ref="U12:U13"/>
    <mergeCell ref="AB10:AC10"/>
    <mergeCell ref="A12:A13"/>
    <mergeCell ref="B12:B13"/>
    <mergeCell ref="C12:E12"/>
    <mergeCell ref="F12:H12"/>
    <mergeCell ref="O12:O13"/>
    <mergeCell ref="A14:A15"/>
    <mergeCell ref="B14:B15"/>
    <mergeCell ref="C14:E14"/>
    <mergeCell ref="F14:H14"/>
    <mergeCell ref="R12:R13"/>
    <mergeCell ref="S12:S13"/>
    <mergeCell ref="P12:P13"/>
    <mergeCell ref="Q12:Q13"/>
    <mergeCell ref="M12:M13"/>
    <mergeCell ref="N12:N13"/>
    <mergeCell ref="I14:I15"/>
    <mergeCell ref="J14:J15"/>
    <mergeCell ref="I12:I13"/>
    <mergeCell ref="J12:J13"/>
    <mergeCell ref="K12:K13"/>
    <mergeCell ref="L12:L13"/>
    <mergeCell ref="S14:S15"/>
    <mergeCell ref="V14:V15"/>
    <mergeCell ref="O14:O15"/>
    <mergeCell ref="P14:P15"/>
    <mergeCell ref="Q14:Q15"/>
    <mergeCell ref="R14:R15"/>
    <mergeCell ref="T14:T15"/>
    <mergeCell ref="U14:U15"/>
    <mergeCell ref="F17:H17"/>
    <mergeCell ref="AA14:AA15"/>
    <mergeCell ref="AB14:AB15"/>
    <mergeCell ref="AC14:AC15"/>
    <mergeCell ref="C15:E15"/>
    <mergeCell ref="F15:H15"/>
    <mergeCell ref="W14:W15"/>
    <mergeCell ref="X14:X15"/>
    <mergeCell ref="Y14:Y15"/>
    <mergeCell ref="Z14:Z15"/>
    <mergeCell ref="T16:T17"/>
    <mergeCell ref="U16:U17"/>
    <mergeCell ref="W16:W17"/>
    <mergeCell ref="X16:X17"/>
    <mergeCell ref="V16:V17"/>
    <mergeCell ref="A16:A17"/>
    <mergeCell ref="B16:B17"/>
    <mergeCell ref="C16:E16"/>
    <mergeCell ref="F16:H16"/>
    <mergeCell ref="C17:E17"/>
    <mergeCell ref="A25:AC25"/>
    <mergeCell ref="A30:Z30"/>
    <mergeCell ref="A31:Z31"/>
    <mergeCell ref="AA30:AC31"/>
    <mergeCell ref="O16:O17"/>
    <mergeCell ref="P16:P17"/>
    <mergeCell ref="Q16:Q17"/>
    <mergeCell ref="R16:R17"/>
    <mergeCell ref="Z16:Z17"/>
    <mergeCell ref="S16:S17"/>
    <mergeCell ref="AA16:AA17"/>
    <mergeCell ref="AB16:AB17"/>
    <mergeCell ref="AC16:AC17"/>
    <mergeCell ref="Y16:Y17"/>
    <mergeCell ref="A35:B35"/>
    <mergeCell ref="C22:E22"/>
    <mergeCell ref="F22:H22"/>
    <mergeCell ref="C23:H23"/>
    <mergeCell ref="E35:H35"/>
    <mergeCell ref="A27:AC27"/>
    <mergeCell ref="T20:T21"/>
    <mergeCell ref="N20:N21"/>
    <mergeCell ref="I20:I21"/>
    <mergeCell ref="J20:J21"/>
    <mergeCell ref="AA20:AA21"/>
    <mergeCell ref="W4:AC4"/>
    <mergeCell ref="W6:Y6"/>
    <mergeCell ref="W8:Y8"/>
    <mergeCell ref="AB6:AC6"/>
    <mergeCell ref="AB8:AC8"/>
    <mergeCell ref="C19:E19"/>
    <mergeCell ref="F19:H19"/>
    <mergeCell ref="A20:A21"/>
    <mergeCell ref="B20:B21"/>
    <mergeCell ref="C20:E20"/>
    <mergeCell ref="AC20:AC21"/>
    <mergeCell ref="C21:E21"/>
    <mergeCell ref="F21:H21"/>
    <mergeCell ref="U20:U21"/>
    <mergeCell ref="V20:V21"/>
    <mergeCell ref="Z20:Z21"/>
    <mergeCell ref="S20:S21"/>
    <mergeCell ref="AB20:AB21"/>
    <mergeCell ref="M20:M21"/>
    <mergeCell ref="A28:AC28"/>
    <mergeCell ref="Q20:Q21"/>
    <mergeCell ref="R20:R21"/>
    <mergeCell ref="O20:O21"/>
    <mergeCell ref="P20:P21"/>
    <mergeCell ref="F20:H20"/>
    <mergeCell ref="K20:K21"/>
    <mergeCell ref="L20:L21"/>
    <mergeCell ref="M14:M15"/>
    <mergeCell ref="M16:M17"/>
    <mergeCell ref="X35:AC35"/>
    <mergeCell ref="C18:E18"/>
    <mergeCell ref="F18:H18"/>
    <mergeCell ref="W20:W21"/>
    <mergeCell ref="X20:X21"/>
    <mergeCell ref="Y20:Y21"/>
    <mergeCell ref="N16:N17"/>
    <mergeCell ref="N14:N15"/>
    <mergeCell ref="I16:I17"/>
    <mergeCell ref="K14:K15"/>
    <mergeCell ref="L14:L15"/>
    <mergeCell ref="J16:J17"/>
    <mergeCell ref="K16:K17"/>
    <mergeCell ref="L16:L17"/>
  </mergeCells>
  <phoneticPr fontId="0" type="noConversion"/>
  <pageMargins left="0.56000000000000005" right="0.15748031496062992" top="0.19" bottom="0.19685039370078741" header="0.17" footer="0.15748031496062992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8" r:id="rId4" name="loeschen_Spielbericht">
          <controlPr defaultSize="0" print="0" autoFill="0" autoLine="0" r:id="rId5">
            <anchor moveWithCells="1">
              <from>
                <xdr:col>28</xdr:col>
                <xdr:colOff>285750</xdr:colOff>
                <xdr:row>0</xdr:row>
                <xdr:rowOff>85725</xdr:rowOff>
              </from>
              <to>
                <xdr:col>30</xdr:col>
                <xdr:colOff>123825</xdr:colOff>
                <xdr:row>4</xdr:row>
                <xdr:rowOff>133350</xdr:rowOff>
              </to>
            </anchor>
          </controlPr>
        </control>
      </mc:Choice>
      <mc:Fallback>
        <control shapeId="4118" r:id="rId4" name="loeschen_Spielberich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S266"/>
  <sheetViews>
    <sheetView showZeros="0" zoomScale="75" zoomScaleNormal="75" workbookViewId="0">
      <selection activeCell="K238" sqref="K238"/>
    </sheetView>
  </sheetViews>
  <sheetFormatPr baseColWidth="10" defaultColWidth="9.140625" defaultRowHeight="12.75"/>
  <cols>
    <col min="1" max="1" width="2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42" width="4.42578125" style="12" customWidth="1"/>
    <col min="43" max="49" width="5.140625" style="12" customWidth="1"/>
    <col min="50" max="16384" width="9.140625" style="12"/>
  </cols>
  <sheetData>
    <row r="1" spans="1:41" s="98" customFormat="1" ht="16.5" customHeight="1"/>
    <row r="2" spans="1:41" s="98" customFormat="1" ht="24.75" customHeight="1">
      <c r="G2" s="99" t="s">
        <v>18</v>
      </c>
      <c r="L2" s="100"/>
      <c r="T2" s="101"/>
    </row>
    <row r="3" spans="1:41" s="98" customFormat="1" ht="12" customHeight="1">
      <c r="B3" s="102"/>
      <c r="C3" s="103"/>
      <c r="P3" s="104"/>
      <c r="AN3" s="105"/>
    </row>
    <row r="4" spans="1:41" s="98" customFormat="1" ht="18" customHeight="1" thickBot="1">
      <c r="B4" s="102"/>
      <c r="C4" s="103"/>
      <c r="P4" s="104"/>
      <c r="Q4" s="106"/>
      <c r="R4" s="109" t="s">
        <v>3</v>
      </c>
      <c r="S4" s="12"/>
      <c r="T4" s="108"/>
      <c r="AN4" s="105"/>
    </row>
    <row r="5" spans="1:41" ht="19.5" customHeight="1" thickBot="1">
      <c r="A5" s="106"/>
      <c r="B5" s="106" t="s">
        <v>2</v>
      </c>
      <c r="C5" s="184">
        <f>Spielbericht!A12</f>
        <v>0</v>
      </c>
      <c r="D5" s="106"/>
      <c r="E5" s="106"/>
      <c r="F5" s="108"/>
      <c r="G5" s="108"/>
      <c r="H5" s="108"/>
      <c r="I5" s="108"/>
      <c r="J5" s="108"/>
      <c r="K5" s="108"/>
      <c r="L5" s="108"/>
      <c r="M5" s="109"/>
      <c r="N5" s="109"/>
      <c r="O5" s="109"/>
      <c r="P5" s="109"/>
      <c r="Q5" s="113">
        <v>1</v>
      </c>
      <c r="R5" s="114"/>
      <c r="S5" s="115" t="s">
        <v>6</v>
      </c>
      <c r="T5" s="116"/>
      <c r="U5" s="108"/>
      <c r="V5" s="108"/>
      <c r="W5" s="108"/>
      <c r="X5" s="108"/>
      <c r="Y5" s="108"/>
      <c r="Z5" s="108"/>
      <c r="AA5" s="109"/>
      <c r="AB5" s="109"/>
      <c r="AC5" s="106"/>
      <c r="AD5" s="106"/>
      <c r="AE5" s="106"/>
      <c r="AF5" s="106"/>
      <c r="AH5" s="110"/>
      <c r="AI5" s="111" t="s">
        <v>44</v>
      </c>
      <c r="AJ5" s="392" t="s">
        <v>5</v>
      </c>
      <c r="AK5" s="392"/>
      <c r="AL5" s="392"/>
      <c r="AM5" s="392"/>
      <c r="AN5" s="392"/>
      <c r="AO5" s="392"/>
    </row>
    <row r="6" spans="1:41" ht="19.5" customHeight="1" thickBot="1">
      <c r="A6" s="106"/>
      <c r="B6" s="106" t="s">
        <v>85</v>
      </c>
      <c r="C6" s="145" t="str">
        <f>Spielbericht!B12</f>
        <v>1.HD</v>
      </c>
      <c r="D6" s="106"/>
      <c r="E6" s="109"/>
      <c r="F6" s="112"/>
      <c r="G6" s="370" t="str">
        <f>Spielbericht!C12</f>
        <v/>
      </c>
      <c r="H6" s="371"/>
      <c r="I6" s="371"/>
      <c r="J6" s="371"/>
      <c r="K6" s="371"/>
      <c r="L6" s="371"/>
      <c r="M6" s="371"/>
      <c r="N6" s="371"/>
      <c r="O6" s="372"/>
      <c r="P6" s="106"/>
      <c r="Q6" s="118">
        <v>2</v>
      </c>
      <c r="R6" s="119"/>
      <c r="S6" s="120" t="s">
        <v>6</v>
      </c>
      <c r="T6" s="121"/>
      <c r="U6" s="108"/>
      <c r="V6" s="373" t="str">
        <f>Spielbericht!F12</f>
        <v/>
      </c>
      <c r="W6" s="374"/>
      <c r="X6" s="374"/>
      <c r="Y6" s="374"/>
      <c r="Z6" s="374"/>
      <c r="AA6" s="374"/>
      <c r="AB6" s="374"/>
      <c r="AC6" s="374"/>
      <c r="AD6" s="375"/>
      <c r="AE6" s="117"/>
      <c r="AH6" s="110"/>
      <c r="AI6" s="111" t="s">
        <v>45</v>
      </c>
      <c r="AJ6" s="392" t="s">
        <v>5</v>
      </c>
      <c r="AK6" s="392"/>
      <c r="AL6" s="392"/>
      <c r="AM6" s="392"/>
      <c r="AN6" s="392"/>
      <c r="AO6" s="392"/>
    </row>
    <row r="7" spans="1:41" ht="19.5" customHeight="1" thickBot="1">
      <c r="A7" s="106"/>
      <c r="B7" s="106" t="s">
        <v>8</v>
      </c>
      <c r="C7" s="144"/>
      <c r="D7" s="106"/>
      <c r="E7" s="109"/>
      <c r="F7" s="108"/>
      <c r="G7" s="370" t="str">
        <f>Spielbericht!C13</f>
        <v/>
      </c>
      <c r="H7" s="371"/>
      <c r="I7" s="371"/>
      <c r="J7" s="371"/>
      <c r="K7" s="371"/>
      <c r="L7" s="371"/>
      <c r="M7" s="371"/>
      <c r="N7" s="371"/>
      <c r="O7" s="372"/>
      <c r="P7" s="106"/>
      <c r="Q7" s="118">
        <v>3</v>
      </c>
      <c r="R7" s="119"/>
      <c r="S7" s="120" t="s">
        <v>6</v>
      </c>
      <c r="T7" s="121"/>
      <c r="U7" s="108"/>
      <c r="V7" s="376" t="str">
        <f>Spielbericht!F13</f>
        <v/>
      </c>
      <c r="W7" s="377"/>
      <c r="X7" s="377"/>
      <c r="Y7" s="377"/>
      <c r="Z7" s="377"/>
      <c r="AA7" s="377"/>
      <c r="AB7" s="377"/>
      <c r="AC7" s="377"/>
      <c r="AD7" s="378"/>
      <c r="AE7" s="106"/>
      <c r="AG7" s="110" t="s">
        <v>9</v>
      </c>
      <c r="AH7" s="110"/>
      <c r="AI7" s="385" t="s">
        <v>10</v>
      </c>
      <c r="AJ7" s="385"/>
      <c r="AL7" s="111" t="s">
        <v>11</v>
      </c>
      <c r="AM7" s="110" t="s">
        <v>43</v>
      </c>
      <c r="AN7" s="109"/>
    </row>
    <row r="8" spans="1:41" ht="19.5" customHeight="1" thickBot="1">
      <c r="A8" s="106"/>
      <c r="B8" s="106" t="s">
        <v>13</v>
      </c>
      <c r="C8" s="146">
        <f>Spielbericht!W6</f>
        <v>0</v>
      </c>
      <c r="D8" s="106"/>
      <c r="E8" s="109"/>
      <c r="F8" s="108"/>
      <c r="G8" s="386" t="str">
        <f>Spielbericht!C10</f>
        <v>Heim</v>
      </c>
      <c r="H8" s="387"/>
      <c r="I8" s="387"/>
      <c r="J8" s="387"/>
      <c r="K8" s="387"/>
      <c r="L8" s="387"/>
      <c r="M8" s="387"/>
      <c r="N8" s="387"/>
      <c r="O8" s="388"/>
      <c r="P8" s="106"/>
      <c r="Q8" s="118">
        <v>4</v>
      </c>
      <c r="R8" s="119"/>
      <c r="S8" s="120" t="s">
        <v>6</v>
      </c>
      <c r="T8" s="121"/>
      <c r="U8" s="108"/>
      <c r="V8" s="389" t="str">
        <f>Spielbericht!F10</f>
        <v>Gast</v>
      </c>
      <c r="W8" s="390"/>
      <c r="X8" s="390"/>
      <c r="Y8" s="390"/>
      <c r="Z8" s="390"/>
      <c r="AA8" s="390"/>
      <c r="AB8" s="390"/>
      <c r="AC8" s="390"/>
      <c r="AD8" s="391"/>
      <c r="AE8" s="106"/>
      <c r="AG8" s="110" t="s">
        <v>14</v>
      </c>
      <c r="AH8" s="110"/>
      <c r="AI8" s="385" t="s">
        <v>10</v>
      </c>
      <c r="AJ8" s="385"/>
      <c r="AL8" s="111" t="s">
        <v>15</v>
      </c>
      <c r="AM8" s="110"/>
      <c r="AN8" s="109"/>
    </row>
    <row r="9" spans="1:41" ht="20.25" customHeight="1" thickBot="1">
      <c r="Q9" s="123">
        <v>5</v>
      </c>
      <c r="R9" s="124"/>
      <c r="S9" s="125" t="s">
        <v>6</v>
      </c>
      <c r="T9" s="126"/>
      <c r="AH9" s="106"/>
      <c r="AI9" s="106"/>
      <c r="AK9" s="127"/>
      <c r="AL9" s="127"/>
      <c r="AM9" s="127"/>
      <c r="AN9" s="27"/>
    </row>
    <row r="10" spans="1:41" ht="15.75" thickBot="1">
      <c r="AH10" s="106"/>
      <c r="AI10" s="106"/>
      <c r="AK10" s="127"/>
      <c r="AL10" s="127"/>
      <c r="AM10" s="127"/>
      <c r="AN10" s="27"/>
    </row>
    <row r="11" spans="1:41" ht="15" customHeight="1">
      <c r="B11" s="359" t="str">
        <f>G$6</f>
        <v/>
      </c>
      <c r="C11" s="360"/>
      <c r="D11" s="361"/>
      <c r="E11" s="128"/>
      <c r="F11" s="129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1"/>
      <c r="AD11" s="130"/>
      <c r="AE11" s="130"/>
      <c r="AF11" s="130"/>
      <c r="AG11" s="130"/>
      <c r="AH11" s="130"/>
      <c r="AI11" s="130"/>
      <c r="AJ11" s="130"/>
      <c r="AK11" s="130"/>
      <c r="AL11" s="131"/>
      <c r="AM11" s="131"/>
      <c r="AN11" s="131"/>
      <c r="AO11" s="132"/>
    </row>
    <row r="12" spans="1:41" ht="15" customHeight="1" thickBot="1">
      <c r="B12" s="355" t="str">
        <f>G$7</f>
        <v/>
      </c>
      <c r="C12" s="356"/>
      <c r="D12" s="362"/>
      <c r="E12" s="133"/>
      <c r="F12" s="134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6"/>
      <c r="AD12" s="135"/>
      <c r="AE12" s="135"/>
      <c r="AF12" s="135"/>
      <c r="AG12" s="135"/>
      <c r="AH12" s="135"/>
      <c r="AI12" s="135"/>
      <c r="AJ12" s="135"/>
      <c r="AK12" s="135"/>
      <c r="AL12" s="137"/>
      <c r="AM12" s="137"/>
      <c r="AN12" s="137"/>
      <c r="AO12" s="138"/>
    </row>
    <row r="13" spans="1:41" ht="15" customHeight="1">
      <c r="B13" s="357" t="str">
        <f>V$6</f>
        <v/>
      </c>
      <c r="C13" s="358"/>
      <c r="D13" s="366"/>
      <c r="E13" s="53"/>
      <c r="F13" s="7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5"/>
      <c r="AD13" s="54"/>
      <c r="AE13" s="54"/>
      <c r="AF13" s="54"/>
      <c r="AG13" s="54"/>
      <c r="AH13" s="54"/>
      <c r="AI13" s="54"/>
      <c r="AJ13" s="54"/>
      <c r="AK13" s="54"/>
      <c r="AL13" s="55"/>
      <c r="AM13" s="55"/>
      <c r="AN13" s="55"/>
      <c r="AO13" s="56"/>
    </row>
    <row r="14" spans="1:41" ht="15" customHeight="1" thickBot="1">
      <c r="B14" s="363" t="str">
        <f>V$7</f>
        <v/>
      </c>
      <c r="C14" s="364"/>
      <c r="D14" s="365"/>
      <c r="E14" s="57"/>
      <c r="F14" s="58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60"/>
      <c r="AD14" s="59"/>
      <c r="AE14" s="59"/>
      <c r="AF14" s="59"/>
      <c r="AG14" s="59"/>
      <c r="AH14" s="59"/>
      <c r="AI14" s="59"/>
      <c r="AJ14" s="59"/>
      <c r="AK14" s="59"/>
      <c r="AL14" s="61"/>
      <c r="AM14" s="61"/>
      <c r="AN14" s="61"/>
      <c r="AO14" s="62"/>
    </row>
    <row r="15" spans="1:41" ht="6" customHeight="1" thickBot="1">
      <c r="A15" s="27"/>
      <c r="B15" s="153"/>
      <c r="C15" s="153"/>
      <c r="D15" s="153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359" t="str">
        <f>G$6</f>
        <v/>
      </c>
      <c r="C16" s="360"/>
      <c r="D16" s="361"/>
      <c r="E16" s="128"/>
      <c r="F16" s="140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2"/>
    </row>
    <row r="17" spans="1:45" ht="15" customHeight="1" thickBot="1">
      <c r="B17" s="355" t="str">
        <f>G$7</f>
        <v/>
      </c>
      <c r="C17" s="356"/>
      <c r="D17" s="362"/>
      <c r="E17" s="133"/>
      <c r="F17" s="141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7"/>
      <c r="AM17" s="137"/>
      <c r="AN17" s="137"/>
      <c r="AO17" s="138"/>
    </row>
    <row r="18" spans="1:45" ht="15" customHeight="1">
      <c r="B18" s="357" t="str">
        <f>V$6</f>
        <v/>
      </c>
      <c r="C18" s="358"/>
      <c r="D18" s="366"/>
      <c r="E18" s="63"/>
      <c r="F18" s="64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6"/>
    </row>
    <row r="19" spans="1:45" ht="15" customHeight="1" thickBot="1">
      <c r="B19" s="363" t="str">
        <f>V$7</f>
        <v/>
      </c>
      <c r="C19" s="364"/>
      <c r="D19" s="365"/>
      <c r="E19" s="65"/>
      <c r="F19" s="66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1"/>
      <c r="AM19" s="61"/>
      <c r="AN19" s="61"/>
      <c r="AO19" s="62"/>
      <c r="AQ19" s="27"/>
      <c r="AR19" s="27"/>
      <c r="AS19" s="27"/>
    </row>
    <row r="20" spans="1:45" ht="6" customHeight="1" thickBot="1">
      <c r="A20" s="27"/>
      <c r="B20" s="154"/>
      <c r="C20" s="154"/>
      <c r="D20" s="154"/>
      <c r="E20" s="14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5" ht="15" customHeight="1">
      <c r="B21" s="359" t="str">
        <f>G$6</f>
        <v/>
      </c>
      <c r="C21" s="360"/>
      <c r="D21" s="361"/>
      <c r="E21" s="142"/>
      <c r="F21" s="140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2"/>
    </row>
    <row r="22" spans="1:45" ht="15" customHeight="1" thickBot="1">
      <c r="B22" s="355" t="str">
        <f>G$7</f>
        <v/>
      </c>
      <c r="C22" s="356"/>
      <c r="D22" s="362"/>
      <c r="E22" s="133"/>
      <c r="F22" s="141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7"/>
      <c r="AM22" s="137"/>
      <c r="AN22" s="137"/>
      <c r="AO22" s="138"/>
    </row>
    <row r="23" spans="1:45" ht="15" customHeight="1">
      <c r="B23" s="357" t="str">
        <f>V$6</f>
        <v/>
      </c>
      <c r="C23" s="358"/>
      <c r="D23" s="366"/>
      <c r="E23" s="63"/>
      <c r="F23" s="64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6"/>
    </row>
    <row r="24" spans="1:45" ht="15" customHeight="1" thickBot="1">
      <c r="B24" s="363" t="str">
        <f>V$7</f>
        <v/>
      </c>
      <c r="C24" s="364"/>
      <c r="D24" s="365"/>
      <c r="E24" s="65"/>
      <c r="F24" s="66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1"/>
      <c r="AM24" s="61"/>
      <c r="AN24" s="61"/>
      <c r="AO24" s="62"/>
    </row>
    <row r="25" spans="1:45" ht="6" customHeight="1" thickBot="1">
      <c r="B25" s="154"/>
      <c r="C25" s="154"/>
      <c r="D25" s="154"/>
      <c r="E25" s="14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5" ht="15" customHeight="1">
      <c r="B26" s="359" t="str">
        <f>G$6</f>
        <v/>
      </c>
      <c r="C26" s="360"/>
      <c r="D26" s="361"/>
      <c r="E26" s="142"/>
      <c r="F26" s="140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2"/>
    </row>
    <row r="27" spans="1:45" ht="15" customHeight="1" thickBot="1">
      <c r="B27" s="355" t="str">
        <f>G$7</f>
        <v/>
      </c>
      <c r="C27" s="356"/>
      <c r="D27" s="362"/>
      <c r="E27" s="133"/>
      <c r="F27" s="141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7"/>
      <c r="AM27" s="137"/>
      <c r="AN27" s="137"/>
      <c r="AO27" s="138"/>
    </row>
    <row r="28" spans="1:45" ht="15" customHeight="1">
      <c r="B28" s="357" t="str">
        <f>V$6</f>
        <v/>
      </c>
      <c r="C28" s="358"/>
      <c r="D28" s="366"/>
      <c r="E28" s="63"/>
      <c r="F28" s="64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6"/>
    </row>
    <row r="29" spans="1:45" ht="15" customHeight="1" thickBot="1">
      <c r="B29" s="363" t="str">
        <f>V$7</f>
        <v/>
      </c>
      <c r="C29" s="364"/>
      <c r="D29" s="365"/>
      <c r="E29" s="65"/>
      <c r="F29" s="67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2"/>
    </row>
    <row r="30" spans="1:45" ht="6" customHeight="1" thickBot="1">
      <c r="B30" s="153"/>
      <c r="C30" s="153"/>
      <c r="D30" s="153"/>
      <c r="E30" s="13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5" ht="15" customHeight="1">
      <c r="B31" s="359" t="str">
        <f>G$6</f>
        <v/>
      </c>
      <c r="C31" s="360"/>
      <c r="D31" s="361"/>
      <c r="E31" s="142"/>
      <c r="F31" s="140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2"/>
    </row>
    <row r="32" spans="1:45" ht="15" customHeight="1" thickBot="1">
      <c r="B32" s="355" t="str">
        <f>G$7</f>
        <v/>
      </c>
      <c r="C32" s="356"/>
      <c r="D32" s="362"/>
      <c r="E32" s="133"/>
      <c r="F32" s="141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7"/>
      <c r="AM32" s="137"/>
      <c r="AN32" s="137"/>
      <c r="AO32" s="138"/>
    </row>
    <row r="33" spans="1:41" ht="15" customHeight="1">
      <c r="B33" s="357" t="str">
        <f>V$6</f>
        <v/>
      </c>
      <c r="C33" s="358"/>
      <c r="D33" s="366"/>
      <c r="E33" s="63"/>
      <c r="F33" s="64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6"/>
    </row>
    <row r="34" spans="1:41" ht="15" customHeight="1" thickBot="1">
      <c r="B34" s="363" t="str">
        <f>V$7</f>
        <v/>
      </c>
      <c r="C34" s="364"/>
      <c r="D34" s="365"/>
      <c r="E34" s="65"/>
      <c r="F34" s="67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2"/>
    </row>
    <row r="35" spans="1:41" ht="25.5" customHeight="1">
      <c r="AN35" s="27"/>
    </row>
    <row r="36" spans="1:41">
      <c r="M36" s="12" t="s">
        <v>16</v>
      </c>
      <c r="O36" s="27"/>
      <c r="Y36" s="12" t="s">
        <v>17</v>
      </c>
      <c r="AN36" s="27"/>
    </row>
    <row r="37" spans="1:41">
      <c r="O37" s="27"/>
      <c r="AN37" s="27"/>
    </row>
    <row r="38" spans="1:41">
      <c r="O38" s="27"/>
      <c r="AN38" s="27"/>
    </row>
    <row r="39" spans="1:41" ht="16.5" customHeight="1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</row>
    <row r="40" spans="1:41" ht="24.75" customHeight="1">
      <c r="A40" s="98"/>
      <c r="B40" s="98"/>
      <c r="C40" s="98"/>
      <c r="D40" s="98"/>
      <c r="E40" s="98"/>
      <c r="F40" s="98"/>
      <c r="G40" s="99" t="s">
        <v>18</v>
      </c>
      <c r="H40" s="98"/>
      <c r="I40" s="98"/>
      <c r="J40" s="98"/>
      <c r="K40" s="98"/>
      <c r="L40" s="100"/>
      <c r="M40" s="98"/>
      <c r="N40" s="98"/>
      <c r="O40" s="98"/>
      <c r="P40" s="98"/>
      <c r="Q40" s="98"/>
      <c r="R40" s="98"/>
      <c r="S40" s="98"/>
      <c r="T40" s="101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</row>
    <row r="41" spans="1:41" ht="12" customHeight="1">
      <c r="A41" s="98"/>
      <c r="B41" s="102"/>
      <c r="C41" s="103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104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105"/>
      <c r="AO41" s="98"/>
    </row>
    <row r="42" spans="1:41" ht="18" customHeight="1" thickBot="1">
      <c r="A42" s="98"/>
      <c r="B42" s="102"/>
      <c r="C42" s="103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104"/>
      <c r="Q42" s="106"/>
      <c r="R42" s="109" t="s">
        <v>3</v>
      </c>
      <c r="T42" s="10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105"/>
      <c r="AO42" s="98"/>
    </row>
    <row r="43" spans="1:41" ht="20.25" customHeight="1" thickBot="1">
      <c r="A43" s="106"/>
      <c r="B43" s="106" t="s">
        <v>2</v>
      </c>
      <c r="C43" s="184">
        <f>Spielbericht!A14</f>
        <v>0</v>
      </c>
      <c r="D43" s="106"/>
      <c r="E43" s="106"/>
      <c r="F43" s="108"/>
      <c r="G43" s="108"/>
      <c r="H43" s="108"/>
      <c r="I43" s="108"/>
      <c r="J43" s="108"/>
      <c r="K43" s="108"/>
      <c r="L43" s="108"/>
      <c r="M43" s="109"/>
      <c r="N43" s="109"/>
      <c r="O43" s="109"/>
      <c r="P43" s="109"/>
      <c r="Q43" s="113">
        <v>1</v>
      </c>
      <c r="R43" s="114"/>
      <c r="S43" s="115" t="s">
        <v>6</v>
      </c>
      <c r="T43" s="116"/>
      <c r="U43" s="108"/>
      <c r="V43" s="108"/>
      <c r="W43" s="108"/>
      <c r="X43" s="108"/>
      <c r="Y43" s="108"/>
      <c r="Z43" s="108"/>
      <c r="AA43" s="109"/>
      <c r="AB43" s="109"/>
      <c r="AC43" s="106"/>
      <c r="AD43" s="106"/>
      <c r="AE43" s="106"/>
      <c r="AF43" s="106"/>
      <c r="AH43" s="110"/>
      <c r="AI43" s="111" t="s">
        <v>4</v>
      </c>
      <c r="AJ43" s="385" t="s">
        <v>5</v>
      </c>
      <c r="AK43" s="385"/>
      <c r="AL43" s="385"/>
      <c r="AM43" s="385"/>
      <c r="AN43" s="109"/>
    </row>
    <row r="44" spans="1:41" ht="20.25" customHeight="1" thickBot="1">
      <c r="A44" s="106"/>
      <c r="B44" s="106" t="s">
        <v>85</v>
      </c>
      <c r="C44" s="145" t="str">
        <f>Spielbericht!B14</f>
        <v>DD</v>
      </c>
      <c r="D44" s="106"/>
      <c r="E44" s="109"/>
      <c r="F44" s="112"/>
      <c r="G44" s="382" t="str">
        <f>Spielbericht!C14</f>
        <v/>
      </c>
      <c r="H44" s="383"/>
      <c r="I44" s="383"/>
      <c r="J44" s="383"/>
      <c r="K44" s="383"/>
      <c r="L44" s="383"/>
      <c r="M44" s="383"/>
      <c r="N44" s="383"/>
      <c r="O44" s="384"/>
      <c r="P44" s="106"/>
      <c r="Q44" s="118">
        <v>2</v>
      </c>
      <c r="R44" s="119"/>
      <c r="S44" s="120" t="s">
        <v>6</v>
      </c>
      <c r="T44" s="121"/>
      <c r="U44" s="108"/>
      <c r="V44" s="373" t="str">
        <f>Spielbericht!F14</f>
        <v/>
      </c>
      <c r="W44" s="374"/>
      <c r="X44" s="374"/>
      <c r="Y44" s="374"/>
      <c r="Z44" s="374"/>
      <c r="AA44" s="374"/>
      <c r="AB44" s="374"/>
      <c r="AC44" s="374"/>
      <c r="AD44" s="375"/>
      <c r="AE44" s="117"/>
      <c r="AH44" s="110"/>
      <c r="AI44" s="111" t="s">
        <v>7</v>
      </c>
      <c r="AJ44" s="385" t="s">
        <v>5</v>
      </c>
      <c r="AK44" s="385"/>
      <c r="AL44" s="385"/>
      <c r="AM44" s="385"/>
      <c r="AN44" s="109"/>
    </row>
    <row r="45" spans="1:41" ht="20.25" customHeight="1" thickBot="1">
      <c r="A45" s="106"/>
      <c r="B45" s="106" t="s">
        <v>8</v>
      </c>
      <c r="C45" s="155"/>
      <c r="D45" s="106"/>
      <c r="E45" s="109"/>
      <c r="F45" s="108"/>
      <c r="G45" s="367" t="str">
        <f>Spielbericht!C15</f>
        <v/>
      </c>
      <c r="H45" s="368"/>
      <c r="I45" s="368"/>
      <c r="J45" s="368"/>
      <c r="K45" s="368"/>
      <c r="L45" s="368"/>
      <c r="M45" s="368"/>
      <c r="N45" s="368"/>
      <c r="O45" s="369"/>
      <c r="P45" s="106"/>
      <c r="Q45" s="118">
        <v>3</v>
      </c>
      <c r="R45" s="119"/>
      <c r="S45" s="120" t="s">
        <v>6</v>
      </c>
      <c r="T45" s="121"/>
      <c r="U45" s="108"/>
      <c r="V45" s="376" t="str">
        <f>Spielbericht!F15</f>
        <v/>
      </c>
      <c r="W45" s="377"/>
      <c r="X45" s="377"/>
      <c r="Y45" s="377"/>
      <c r="Z45" s="377"/>
      <c r="AA45" s="377"/>
      <c r="AB45" s="377"/>
      <c r="AC45" s="377"/>
      <c r="AD45" s="378"/>
      <c r="AE45" s="106"/>
      <c r="AG45" s="110" t="s">
        <v>9</v>
      </c>
      <c r="AH45" s="110"/>
      <c r="AI45" s="385" t="s">
        <v>10</v>
      </c>
      <c r="AJ45" s="385"/>
      <c r="AL45" s="111" t="s">
        <v>11</v>
      </c>
      <c r="AM45" s="110" t="s">
        <v>12</v>
      </c>
      <c r="AN45" s="109"/>
    </row>
    <row r="46" spans="1:41" ht="20.25" customHeight="1" thickBot="1">
      <c r="A46" s="106"/>
      <c r="B46" s="106" t="s">
        <v>13</v>
      </c>
      <c r="C46" s="146">
        <f>Spielbericht!W6</f>
        <v>0</v>
      </c>
      <c r="D46" s="106"/>
      <c r="E46" s="109"/>
      <c r="F46" s="108"/>
      <c r="G46" s="393" t="str">
        <f>Spielbericht!C10</f>
        <v>Heim</v>
      </c>
      <c r="H46" s="394"/>
      <c r="I46" s="394"/>
      <c r="J46" s="394"/>
      <c r="K46" s="394"/>
      <c r="L46" s="394"/>
      <c r="M46" s="394"/>
      <c r="N46" s="394"/>
      <c r="O46" s="395"/>
      <c r="P46" s="106"/>
      <c r="Q46" s="118">
        <v>4</v>
      </c>
      <c r="R46" s="119"/>
      <c r="S46" s="120" t="s">
        <v>6</v>
      </c>
      <c r="T46" s="121"/>
      <c r="U46" s="108"/>
      <c r="V46" s="379" t="str">
        <f>Spielbericht!F10</f>
        <v>Gast</v>
      </c>
      <c r="W46" s="380"/>
      <c r="X46" s="380"/>
      <c r="Y46" s="380"/>
      <c r="Z46" s="380"/>
      <c r="AA46" s="380"/>
      <c r="AB46" s="380"/>
      <c r="AC46" s="380"/>
      <c r="AD46" s="381"/>
      <c r="AE46" s="106"/>
      <c r="AG46" s="110" t="s">
        <v>14</v>
      </c>
      <c r="AH46" s="110"/>
      <c r="AI46" s="385" t="s">
        <v>10</v>
      </c>
      <c r="AJ46" s="385"/>
      <c r="AL46" s="111" t="s">
        <v>15</v>
      </c>
      <c r="AM46" s="110"/>
      <c r="AN46" s="109"/>
    </row>
    <row r="47" spans="1:41" ht="20.25" customHeight="1" thickBot="1">
      <c r="Q47" s="123">
        <v>5</v>
      </c>
      <c r="R47" s="124"/>
      <c r="S47" s="125" t="s">
        <v>6</v>
      </c>
      <c r="T47" s="126"/>
      <c r="AH47" s="106"/>
      <c r="AI47" s="106"/>
      <c r="AK47" s="127"/>
      <c r="AL47" s="127"/>
      <c r="AM47" s="127"/>
      <c r="AN47" s="27"/>
    </row>
    <row r="48" spans="1:41" ht="15.75" thickBot="1">
      <c r="AH48" s="106"/>
      <c r="AI48" s="106"/>
      <c r="AK48" s="127"/>
      <c r="AL48" s="127"/>
      <c r="AM48" s="127"/>
      <c r="AN48" s="27"/>
    </row>
    <row r="49" spans="1:41" ht="15" customHeight="1">
      <c r="B49" s="359" t="str">
        <f>G44</f>
        <v/>
      </c>
      <c r="C49" s="360"/>
      <c r="D49" s="361"/>
      <c r="E49" s="128"/>
      <c r="F49" s="129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0"/>
      <c r="Z49" s="130"/>
      <c r="AA49" s="130"/>
      <c r="AB49" s="130"/>
      <c r="AC49" s="131"/>
      <c r="AD49" s="130"/>
      <c r="AE49" s="130"/>
      <c r="AF49" s="130"/>
      <c r="AG49" s="130"/>
      <c r="AH49" s="130"/>
      <c r="AI49" s="130"/>
      <c r="AJ49" s="130"/>
      <c r="AK49" s="130"/>
      <c r="AL49" s="131"/>
      <c r="AM49" s="131"/>
      <c r="AN49" s="131"/>
      <c r="AO49" s="132"/>
    </row>
    <row r="50" spans="1:41" ht="15" customHeight="1" thickBot="1">
      <c r="B50" s="355" t="str">
        <f>G45</f>
        <v/>
      </c>
      <c r="C50" s="356"/>
      <c r="D50" s="362"/>
      <c r="E50" s="133"/>
      <c r="F50" s="134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6"/>
      <c r="AD50" s="135"/>
      <c r="AE50" s="135"/>
      <c r="AF50" s="135"/>
      <c r="AG50" s="135"/>
      <c r="AH50" s="135"/>
      <c r="AI50" s="135"/>
      <c r="AJ50" s="135"/>
      <c r="AK50" s="135"/>
      <c r="AL50" s="137"/>
      <c r="AM50" s="137"/>
      <c r="AN50" s="137"/>
      <c r="AO50" s="138"/>
    </row>
    <row r="51" spans="1:41" ht="15" customHeight="1">
      <c r="B51" s="357" t="str">
        <f>V44</f>
        <v/>
      </c>
      <c r="C51" s="358"/>
      <c r="D51" s="366"/>
      <c r="E51" s="53"/>
      <c r="F51" s="7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5"/>
      <c r="AD51" s="54"/>
      <c r="AE51" s="54"/>
      <c r="AF51" s="54"/>
      <c r="AG51" s="54"/>
      <c r="AH51" s="54"/>
      <c r="AI51" s="54"/>
      <c r="AJ51" s="54"/>
      <c r="AK51" s="54"/>
      <c r="AL51" s="55"/>
      <c r="AM51" s="55"/>
      <c r="AN51" s="55"/>
      <c r="AO51" s="56"/>
    </row>
    <row r="52" spans="1:41" ht="15" customHeight="1" thickBot="1">
      <c r="B52" s="363" t="str">
        <f>V45</f>
        <v/>
      </c>
      <c r="C52" s="364"/>
      <c r="D52" s="365"/>
      <c r="E52" s="57"/>
      <c r="F52" s="58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60"/>
      <c r="AD52" s="59"/>
      <c r="AE52" s="59"/>
      <c r="AF52" s="59"/>
      <c r="AG52" s="59"/>
      <c r="AH52" s="59"/>
      <c r="AI52" s="59"/>
      <c r="AJ52" s="59"/>
      <c r="AK52" s="59"/>
      <c r="AL52" s="61"/>
      <c r="AM52" s="61"/>
      <c r="AN52" s="61"/>
      <c r="AO52" s="62"/>
    </row>
    <row r="53" spans="1:41" ht="6" customHeight="1" thickBot="1">
      <c r="A53" s="27"/>
      <c r="B53" s="153"/>
      <c r="C53" s="153"/>
      <c r="D53" s="153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1" ht="15" customHeight="1">
      <c r="B54" s="359" t="str">
        <f>G44</f>
        <v/>
      </c>
      <c r="C54" s="360"/>
      <c r="D54" s="361"/>
      <c r="E54" s="128"/>
      <c r="F54" s="140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2"/>
    </row>
    <row r="55" spans="1:41" ht="15" customHeight="1" thickBot="1">
      <c r="B55" s="355" t="str">
        <f>G45</f>
        <v/>
      </c>
      <c r="C55" s="356"/>
      <c r="D55" s="362"/>
      <c r="E55" s="133"/>
      <c r="F55" s="141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7"/>
      <c r="AM55" s="137"/>
      <c r="AN55" s="137"/>
      <c r="AO55" s="138"/>
    </row>
    <row r="56" spans="1:41" ht="15" customHeight="1">
      <c r="B56" s="357" t="str">
        <f>V44</f>
        <v/>
      </c>
      <c r="C56" s="358"/>
      <c r="D56" s="366"/>
      <c r="E56" s="63"/>
      <c r="F56" s="64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6"/>
    </row>
    <row r="57" spans="1:41" ht="15" customHeight="1" thickBot="1">
      <c r="B57" s="363" t="str">
        <f>V45</f>
        <v/>
      </c>
      <c r="C57" s="364"/>
      <c r="D57" s="365"/>
      <c r="E57" s="65"/>
      <c r="F57" s="66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1"/>
      <c r="AM57" s="61"/>
      <c r="AN57" s="61"/>
      <c r="AO57" s="62"/>
    </row>
    <row r="58" spans="1:41" ht="6" customHeight="1" thickBot="1">
      <c r="A58" s="27"/>
      <c r="B58" s="154"/>
      <c r="C58" s="154"/>
      <c r="D58" s="154"/>
      <c r="E58" s="143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</row>
    <row r="59" spans="1:41" ht="15" customHeight="1">
      <c r="B59" s="359" t="str">
        <f>G44</f>
        <v/>
      </c>
      <c r="C59" s="360"/>
      <c r="D59" s="361"/>
      <c r="E59" s="142"/>
      <c r="F59" s="140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2"/>
    </row>
    <row r="60" spans="1:41" ht="15" customHeight="1" thickBot="1">
      <c r="B60" s="355" t="str">
        <f>G45</f>
        <v/>
      </c>
      <c r="C60" s="356"/>
      <c r="D60" s="362"/>
      <c r="E60" s="133"/>
      <c r="F60" s="141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7"/>
      <c r="AM60" s="137"/>
      <c r="AN60" s="137"/>
      <c r="AO60" s="138"/>
    </row>
    <row r="61" spans="1:41" ht="15" customHeight="1">
      <c r="B61" s="357" t="str">
        <f>V44</f>
        <v/>
      </c>
      <c r="C61" s="358"/>
      <c r="D61" s="366"/>
      <c r="E61" s="63"/>
      <c r="F61" s="64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  <c r="AO61" s="56"/>
    </row>
    <row r="62" spans="1:41" ht="15" customHeight="1" thickBot="1">
      <c r="B62" s="363" t="str">
        <f>V45</f>
        <v/>
      </c>
      <c r="C62" s="364"/>
      <c r="D62" s="365"/>
      <c r="E62" s="65"/>
      <c r="F62" s="66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1"/>
      <c r="AM62" s="61"/>
      <c r="AN62" s="61"/>
      <c r="AO62" s="62"/>
    </row>
    <row r="63" spans="1:41" ht="6" customHeight="1" thickBot="1">
      <c r="B63" s="154"/>
      <c r="C63" s="154"/>
      <c r="D63" s="154"/>
      <c r="E63" s="143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</row>
    <row r="64" spans="1:41" ht="15" customHeight="1">
      <c r="B64" s="359" t="str">
        <f>G44</f>
        <v/>
      </c>
      <c r="C64" s="360"/>
      <c r="D64" s="361"/>
      <c r="E64" s="142"/>
      <c r="F64" s="140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2"/>
    </row>
    <row r="65" spans="1:41" ht="15" customHeight="1" thickBot="1">
      <c r="B65" s="355" t="str">
        <f>G45</f>
        <v/>
      </c>
      <c r="C65" s="356"/>
      <c r="D65" s="362"/>
      <c r="E65" s="133"/>
      <c r="F65" s="141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  <c r="AH65" s="136"/>
      <c r="AI65" s="136"/>
      <c r="AJ65" s="136"/>
      <c r="AK65" s="136"/>
      <c r="AL65" s="137"/>
      <c r="AM65" s="137"/>
      <c r="AN65" s="137"/>
      <c r="AO65" s="138"/>
    </row>
    <row r="66" spans="1:41" ht="15" customHeight="1">
      <c r="B66" s="357" t="str">
        <f>V44</f>
        <v/>
      </c>
      <c r="C66" s="358"/>
      <c r="D66" s="366"/>
      <c r="E66" s="63"/>
      <c r="F66" s="64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6"/>
    </row>
    <row r="67" spans="1:41" ht="15" customHeight="1" thickBot="1">
      <c r="B67" s="363" t="str">
        <f>V45</f>
        <v/>
      </c>
      <c r="C67" s="364"/>
      <c r="D67" s="365"/>
      <c r="E67" s="65"/>
      <c r="F67" s="67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2"/>
    </row>
    <row r="68" spans="1:41" ht="6" customHeight="1" thickBot="1">
      <c r="B68" s="153"/>
      <c r="C68" s="153"/>
      <c r="D68" s="153"/>
      <c r="E68" s="139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</row>
    <row r="69" spans="1:41" ht="15" customHeight="1">
      <c r="B69" s="359" t="str">
        <f>G44</f>
        <v/>
      </c>
      <c r="C69" s="360"/>
      <c r="D69" s="361"/>
      <c r="E69" s="142"/>
      <c r="F69" s="140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2"/>
    </row>
    <row r="70" spans="1:41" ht="15" customHeight="1" thickBot="1">
      <c r="B70" s="355" t="str">
        <f>G45</f>
        <v/>
      </c>
      <c r="C70" s="356"/>
      <c r="D70" s="362"/>
      <c r="E70" s="133"/>
      <c r="F70" s="141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136"/>
      <c r="AK70" s="136"/>
      <c r="AL70" s="137"/>
      <c r="AM70" s="137"/>
      <c r="AN70" s="137"/>
      <c r="AO70" s="138"/>
    </row>
    <row r="71" spans="1:41" ht="15" customHeight="1">
      <c r="B71" s="357" t="str">
        <f>V44</f>
        <v/>
      </c>
      <c r="C71" s="358"/>
      <c r="D71" s="366"/>
      <c r="E71" s="63"/>
      <c r="F71" s="64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6"/>
    </row>
    <row r="72" spans="1:41" ht="15" customHeight="1" thickBot="1">
      <c r="B72" s="363" t="str">
        <f>V45</f>
        <v/>
      </c>
      <c r="C72" s="364"/>
      <c r="D72" s="365"/>
      <c r="E72" s="65"/>
      <c r="F72" s="67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2"/>
    </row>
    <row r="73" spans="1:41" ht="25.5" customHeight="1">
      <c r="AN73" s="27"/>
    </row>
    <row r="74" spans="1:41">
      <c r="M74" s="12" t="s">
        <v>16</v>
      </c>
      <c r="O74" s="27"/>
      <c r="Y74" s="12" t="s">
        <v>17</v>
      </c>
      <c r="AN74" s="27"/>
    </row>
    <row r="75" spans="1:41">
      <c r="O75" s="27"/>
      <c r="AN75" s="27"/>
    </row>
    <row r="76" spans="1:41">
      <c r="O76" s="27"/>
      <c r="AN76" s="27"/>
    </row>
    <row r="77" spans="1:41" ht="16.5" customHeight="1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</row>
    <row r="78" spans="1:41" ht="24.75" customHeight="1">
      <c r="A78" s="98"/>
      <c r="B78" s="98"/>
      <c r="C78" s="98"/>
      <c r="D78" s="98"/>
      <c r="E78" s="98"/>
      <c r="F78" s="98"/>
      <c r="G78" s="99" t="s">
        <v>18</v>
      </c>
      <c r="H78" s="98"/>
      <c r="I78" s="98"/>
      <c r="J78" s="98"/>
      <c r="K78" s="98"/>
      <c r="L78" s="100"/>
      <c r="M78" s="98"/>
      <c r="N78" s="98"/>
      <c r="O78" s="98"/>
      <c r="P78" s="98"/>
      <c r="Q78" s="98"/>
      <c r="R78" s="98"/>
      <c r="S78" s="98"/>
      <c r="T78" s="101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</row>
    <row r="79" spans="1:41" ht="12" customHeight="1">
      <c r="A79" s="98"/>
      <c r="B79" s="102"/>
      <c r="C79" s="103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104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105"/>
      <c r="AO79" s="98"/>
    </row>
    <row r="80" spans="1:41" ht="18" customHeight="1" thickBot="1">
      <c r="A80" s="98"/>
      <c r="B80" s="102"/>
      <c r="C80" s="103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104"/>
      <c r="Q80" s="106"/>
      <c r="R80" s="109" t="s">
        <v>3</v>
      </c>
      <c r="T80" s="10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105"/>
      <c r="AO80" s="98"/>
    </row>
    <row r="81" spans="1:41" ht="16.5" thickBot="1">
      <c r="A81" s="106"/>
      <c r="B81" s="106" t="s">
        <v>2</v>
      </c>
      <c r="C81" s="184">
        <f>Spielbericht!A16</f>
        <v>0</v>
      </c>
      <c r="D81" s="106"/>
      <c r="E81" s="106"/>
      <c r="F81" s="108"/>
      <c r="G81" s="108"/>
      <c r="H81" s="108"/>
      <c r="I81" s="108"/>
      <c r="J81" s="108"/>
      <c r="K81" s="108"/>
      <c r="L81" s="108"/>
      <c r="M81" s="109"/>
      <c r="N81" s="109"/>
      <c r="O81" s="109"/>
      <c r="P81" s="109"/>
      <c r="Q81" s="113">
        <v>1</v>
      </c>
      <c r="R81" s="114"/>
      <c r="S81" s="115" t="s">
        <v>6</v>
      </c>
      <c r="T81" s="116"/>
      <c r="U81" s="108"/>
      <c r="V81" s="108"/>
      <c r="W81" s="108"/>
      <c r="X81" s="108"/>
      <c r="Y81" s="108"/>
      <c r="Z81" s="108"/>
      <c r="AA81" s="109"/>
      <c r="AB81" s="109"/>
      <c r="AC81" s="106"/>
      <c r="AD81" s="106"/>
      <c r="AE81" s="106"/>
      <c r="AF81" s="106"/>
      <c r="AH81" s="110"/>
      <c r="AI81" s="111" t="s">
        <v>4</v>
      </c>
      <c r="AJ81" s="110" t="s">
        <v>5</v>
      </c>
      <c r="AK81" s="110"/>
      <c r="AL81" s="110"/>
      <c r="AM81" s="110"/>
      <c r="AN81" s="109"/>
    </row>
    <row r="82" spans="1:41" ht="19.5" customHeight="1" thickBot="1">
      <c r="A82" s="106"/>
      <c r="B82" s="106" t="s">
        <v>85</v>
      </c>
      <c r="C82" s="145" t="str">
        <f>Spielbericht!B16</f>
        <v>2.HD</v>
      </c>
      <c r="D82" s="106"/>
      <c r="E82" s="109"/>
      <c r="F82" s="112"/>
      <c r="G82" s="382" t="str">
        <f>Spielbericht!C16</f>
        <v/>
      </c>
      <c r="H82" s="383"/>
      <c r="I82" s="383"/>
      <c r="J82" s="383"/>
      <c r="K82" s="383"/>
      <c r="L82" s="383"/>
      <c r="M82" s="383"/>
      <c r="N82" s="383"/>
      <c r="O82" s="384"/>
      <c r="P82" s="106"/>
      <c r="Q82" s="118">
        <v>2</v>
      </c>
      <c r="R82" s="119"/>
      <c r="S82" s="120" t="s">
        <v>6</v>
      </c>
      <c r="T82" s="121"/>
      <c r="U82" s="108"/>
      <c r="V82" s="373" t="str">
        <f>Spielbericht!F16</f>
        <v/>
      </c>
      <c r="W82" s="374"/>
      <c r="X82" s="374"/>
      <c r="Y82" s="374"/>
      <c r="Z82" s="374"/>
      <c r="AA82" s="374"/>
      <c r="AB82" s="374"/>
      <c r="AC82" s="374"/>
      <c r="AD82" s="375"/>
      <c r="AE82" s="117"/>
      <c r="AH82" s="110"/>
      <c r="AI82" s="111" t="s">
        <v>7</v>
      </c>
      <c r="AJ82" s="110" t="s">
        <v>5</v>
      </c>
      <c r="AK82" s="110"/>
      <c r="AL82" s="110"/>
      <c r="AM82" s="110"/>
      <c r="AN82" s="109"/>
    </row>
    <row r="83" spans="1:41" ht="19.5" customHeight="1" thickBot="1">
      <c r="A83" s="106"/>
      <c r="B83" s="106" t="s">
        <v>8</v>
      </c>
      <c r="C83" s="155"/>
      <c r="D83" s="106"/>
      <c r="E83" s="109"/>
      <c r="F83" s="108"/>
      <c r="G83" s="367" t="str">
        <f>Spielbericht!C17</f>
        <v/>
      </c>
      <c r="H83" s="368"/>
      <c r="I83" s="368"/>
      <c r="J83" s="368"/>
      <c r="K83" s="368"/>
      <c r="L83" s="368"/>
      <c r="M83" s="368"/>
      <c r="N83" s="368"/>
      <c r="O83" s="369"/>
      <c r="P83" s="106"/>
      <c r="Q83" s="118">
        <v>3</v>
      </c>
      <c r="R83" s="119"/>
      <c r="S83" s="120" t="s">
        <v>6</v>
      </c>
      <c r="T83" s="121"/>
      <c r="U83" s="108"/>
      <c r="V83" s="376" t="str">
        <f>Spielbericht!F17</f>
        <v/>
      </c>
      <c r="W83" s="377"/>
      <c r="X83" s="377"/>
      <c r="Y83" s="377"/>
      <c r="Z83" s="377"/>
      <c r="AA83" s="377"/>
      <c r="AB83" s="377"/>
      <c r="AC83" s="377"/>
      <c r="AD83" s="378"/>
      <c r="AE83" s="106"/>
      <c r="AG83" s="110" t="s">
        <v>9</v>
      </c>
      <c r="AH83" s="110"/>
      <c r="AI83" s="110" t="s">
        <v>10</v>
      </c>
      <c r="AJ83" s="110"/>
      <c r="AL83" s="111" t="s">
        <v>11</v>
      </c>
      <c r="AM83" s="110" t="s">
        <v>12</v>
      </c>
      <c r="AN83" s="109"/>
    </row>
    <row r="84" spans="1:41" ht="19.5" customHeight="1" thickBot="1">
      <c r="A84" s="106"/>
      <c r="B84" s="106" t="s">
        <v>13</v>
      </c>
      <c r="C84" s="156">
        <f>Spielbericht!W6</f>
        <v>0</v>
      </c>
      <c r="D84" s="106"/>
      <c r="E84" s="109"/>
      <c r="F84" s="108"/>
      <c r="G84" s="370" t="str">
        <f>Spielbericht!C10</f>
        <v>Heim</v>
      </c>
      <c r="H84" s="371"/>
      <c r="I84" s="371"/>
      <c r="J84" s="371"/>
      <c r="K84" s="371"/>
      <c r="L84" s="371"/>
      <c r="M84" s="371"/>
      <c r="N84" s="371"/>
      <c r="O84" s="372"/>
      <c r="P84" s="106"/>
      <c r="Q84" s="118">
        <v>4</v>
      </c>
      <c r="R84" s="119"/>
      <c r="S84" s="120" t="s">
        <v>6</v>
      </c>
      <c r="T84" s="121"/>
      <c r="U84" s="108"/>
      <c r="V84" s="379" t="str">
        <f>Spielbericht!F10</f>
        <v>Gast</v>
      </c>
      <c r="W84" s="380"/>
      <c r="X84" s="380"/>
      <c r="Y84" s="380"/>
      <c r="Z84" s="380"/>
      <c r="AA84" s="380"/>
      <c r="AB84" s="380"/>
      <c r="AC84" s="380"/>
      <c r="AD84" s="381"/>
      <c r="AE84" s="106"/>
      <c r="AG84" s="110" t="s">
        <v>14</v>
      </c>
      <c r="AH84" s="110"/>
      <c r="AI84" s="110" t="s">
        <v>10</v>
      </c>
      <c r="AJ84" s="110"/>
      <c r="AL84" s="111" t="s">
        <v>15</v>
      </c>
      <c r="AM84" s="110"/>
      <c r="AN84" s="109"/>
    </row>
    <row r="85" spans="1:41" ht="20.25" customHeight="1" thickBot="1">
      <c r="Q85" s="123">
        <v>5</v>
      </c>
      <c r="R85" s="124"/>
      <c r="S85" s="125" t="s">
        <v>6</v>
      </c>
      <c r="T85" s="126"/>
      <c r="AH85" s="106"/>
      <c r="AI85" s="106"/>
      <c r="AK85" s="127"/>
      <c r="AL85" s="127"/>
      <c r="AM85" s="127"/>
      <c r="AN85" s="27"/>
    </row>
    <row r="86" spans="1:41" ht="15.75" thickBot="1">
      <c r="AH86" s="106"/>
      <c r="AI86" s="106"/>
      <c r="AK86" s="127"/>
      <c r="AL86" s="127"/>
      <c r="AM86" s="127"/>
      <c r="AN86" s="27"/>
    </row>
    <row r="87" spans="1:41" ht="15" customHeight="1">
      <c r="B87" s="359" t="str">
        <f>G82</f>
        <v/>
      </c>
      <c r="C87" s="360"/>
      <c r="D87" s="361"/>
      <c r="E87" s="128"/>
      <c r="F87" s="129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1"/>
      <c r="AD87" s="130"/>
      <c r="AE87" s="130"/>
      <c r="AF87" s="130"/>
      <c r="AG87" s="130"/>
      <c r="AH87" s="130"/>
      <c r="AI87" s="130"/>
      <c r="AJ87" s="130"/>
      <c r="AK87" s="130"/>
      <c r="AL87" s="131"/>
      <c r="AM87" s="131"/>
      <c r="AN87" s="131"/>
      <c r="AO87" s="132"/>
    </row>
    <row r="88" spans="1:41" ht="15" customHeight="1" thickBot="1">
      <c r="B88" s="355" t="str">
        <f>G83</f>
        <v/>
      </c>
      <c r="C88" s="356"/>
      <c r="D88" s="362"/>
      <c r="E88" s="133"/>
      <c r="F88" s="134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6"/>
      <c r="AD88" s="135"/>
      <c r="AE88" s="135"/>
      <c r="AF88" s="135"/>
      <c r="AG88" s="135"/>
      <c r="AH88" s="135"/>
      <c r="AI88" s="135"/>
      <c r="AJ88" s="135"/>
      <c r="AK88" s="135"/>
      <c r="AL88" s="137"/>
      <c r="AM88" s="137"/>
      <c r="AN88" s="137"/>
      <c r="AO88" s="138"/>
    </row>
    <row r="89" spans="1:41" ht="15" customHeight="1">
      <c r="B89" s="357" t="str">
        <f>V82</f>
        <v/>
      </c>
      <c r="C89" s="358"/>
      <c r="D89" s="366"/>
      <c r="E89" s="53"/>
      <c r="F89" s="7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5"/>
      <c r="AD89" s="54"/>
      <c r="AE89" s="54"/>
      <c r="AF89" s="54"/>
      <c r="AG89" s="54"/>
      <c r="AH89" s="54"/>
      <c r="AI89" s="54"/>
      <c r="AJ89" s="54"/>
      <c r="AK89" s="54"/>
      <c r="AL89" s="55"/>
      <c r="AM89" s="55"/>
      <c r="AN89" s="55"/>
      <c r="AO89" s="56"/>
    </row>
    <row r="90" spans="1:41" ht="15" customHeight="1" thickBot="1">
      <c r="B90" s="363" t="str">
        <f>V83</f>
        <v/>
      </c>
      <c r="C90" s="364"/>
      <c r="D90" s="365"/>
      <c r="E90" s="57"/>
      <c r="F90" s="58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60"/>
      <c r="AD90" s="59"/>
      <c r="AE90" s="59"/>
      <c r="AF90" s="59"/>
      <c r="AG90" s="59"/>
      <c r="AH90" s="59"/>
      <c r="AI90" s="59"/>
      <c r="AJ90" s="59"/>
      <c r="AK90" s="59"/>
      <c r="AL90" s="61"/>
      <c r="AM90" s="61"/>
      <c r="AN90" s="61"/>
      <c r="AO90" s="62"/>
    </row>
    <row r="91" spans="1:41" ht="6" customHeight="1" thickBot="1">
      <c r="A91" s="27"/>
      <c r="B91" s="153"/>
      <c r="C91" s="153"/>
      <c r="D91" s="153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1" ht="15" customHeight="1">
      <c r="B92" s="359" t="str">
        <f>G82</f>
        <v/>
      </c>
      <c r="C92" s="360"/>
      <c r="D92" s="361"/>
      <c r="E92" s="128"/>
      <c r="F92" s="140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2"/>
    </row>
    <row r="93" spans="1:41" ht="15" customHeight="1" thickBot="1">
      <c r="B93" s="355" t="str">
        <f>G83</f>
        <v/>
      </c>
      <c r="C93" s="356"/>
      <c r="D93" s="362"/>
      <c r="E93" s="133"/>
      <c r="F93" s="141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  <c r="AH93" s="136"/>
      <c r="AI93" s="136"/>
      <c r="AJ93" s="136"/>
      <c r="AK93" s="136"/>
      <c r="AL93" s="137"/>
      <c r="AM93" s="137"/>
      <c r="AN93" s="137"/>
      <c r="AO93" s="138"/>
    </row>
    <row r="94" spans="1:41" ht="15" customHeight="1">
      <c r="B94" s="357" t="str">
        <f>V82</f>
        <v/>
      </c>
      <c r="C94" s="358"/>
      <c r="D94" s="366"/>
      <c r="E94" s="63"/>
      <c r="F94" s="64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6"/>
    </row>
    <row r="95" spans="1:41" ht="15" customHeight="1" thickBot="1">
      <c r="B95" s="363" t="str">
        <f>V83</f>
        <v/>
      </c>
      <c r="C95" s="364"/>
      <c r="D95" s="365"/>
      <c r="E95" s="65"/>
      <c r="F95" s="66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1"/>
      <c r="AM95" s="61"/>
      <c r="AN95" s="61"/>
      <c r="AO95" s="62"/>
    </row>
    <row r="96" spans="1:41" ht="6" customHeight="1" thickBot="1">
      <c r="A96" s="27"/>
      <c r="B96" s="154"/>
      <c r="C96" s="154"/>
      <c r="D96" s="154"/>
      <c r="E96" s="143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2:41" ht="15" customHeight="1">
      <c r="B97" s="359" t="str">
        <f>G82</f>
        <v/>
      </c>
      <c r="C97" s="360"/>
      <c r="D97" s="361"/>
      <c r="E97" s="142"/>
      <c r="F97" s="140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2"/>
    </row>
    <row r="98" spans="2:41" ht="15" customHeight="1" thickBot="1">
      <c r="B98" s="355" t="str">
        <f>G83</f>
        <v/>
      </c>
      <c r="C98" s="356"/>
      <c r="D98" s="362"/>
      <c r="E98" s="133"/>
      <c r="F98" s="141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  <c r="AH98" s="136"/>
      <c r="AI98" s="136"/>
      <c r="AJ98" s="136"/>
      <c r="AK98" s="136"/>
      <c r="AL98" s="137"/>
      <c r="AM98" s="137"/>
      <c r="AN98" s="137"/>
      <c r="AO98" s="138"/>
    </row>
    <row r="99" spans="2:41" ht="15" customHeight="1">
      <c r="B99" s="357" t="str">
        <f>V82</f>
        <v/>
      </c>
      <c r="C99" s="358"/>
      <c r="D99" s="366"/>
      <c r="E99" s="63"/>
      <c r="F99" s="64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  <c r="AO99" s="56"/>
    </row>
    <row r="100" spans="2:41" ht="15" customHeight="1" thickBot="1">
      <c r="B100" s="363" t="str">
        <f>V83</f>
        <v/>
      </c>
      <c r="C100" s="364"/>
      <c r="D100" s="365"/>
      <c r="E100" s="65"/>
      <c r="F100" s="66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1"/>
      <c r="AM100" s="61"/>
      <c r="AN100" s="61"/>
      <c r="AO100" s="62"/>
    </row>
    <row r="101" spans="2:41" ht="6" customHeight="1" thickBot="1">
      <c r="B101" s="154"/>
      <c r="C101" s="154"/>
      <c r="D101" s="154"/>
      <c r="E101" s="143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2:41" ht="15" customHeight="1">
      <c r="B102" s="359" t="str">
        <f>G82</f>
        <v/>
      </c>
      <c r="C102" s="360"/>
      <c r="D102" s="361"/>
      <c r="E102" s="142"/>
      <c r="F102" s="140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2"/>
    </row>
    <row r="103" spans="2:41" ht="15" customHeight="1" thickBot="1">
      <c r="B103" s="355" t="str">
        <f>G83</f>
        <v/>
      </c>
      <c r="C103" s="356"/>
      <c r="D103" s="362"/>
      <c r="E103" s="133"/>
      <c r="F103" s="141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  <c r="AH103" s="136"/>
      <c r="AI103" s="136"/>
      <c r="AJ103" s="136"/>
      <c r="AK103" s="136"/>
      <c r="AL103" s="137"/>
      <c r="AM103" s="137"/>
      <c r="AN103" s="137"/>
      <c r="AO103" s="138"/>
    </row>
    <row r="104" spans="2:41" ht="15" customHeight="1">
      <c r="B104" s="357" t="str">
        <f>V82</f>
        <v/>
      </c>
      <c r="C104" s="358"/>
      <c r="D104" s="366"/>
      <c r="E104" s="63"/>
      <c r="F104" s="64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  <c r="AO104" s="56"/>
    </row>
    <row r="105" spans="2:41" ht="15" customHeight="1" thickBot="1">
      <c r="B105" s="363" t="str">
        <f>V83</f>
        <v/>
      </c>
      <c r="C105" s="364"/>
      <c r="D105" s="365"/>
      <c r="E105" s="65"/>
      <c r="F105" s="67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2"/>
    </row>
    <row r="106" spans="2:41" ht="6" customHeight="1" thickBot="1">
      <c r="B106" s="153"/>
      <c r="C106" s="153"/>
      <c r="D106" s="153"/>
      <c r="E106" s="139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</row>
    <row r="107" spans="2:41" ht="15" customHeight="1">
      <c r="B107" s="359" t="str">
        <f>G82</f>
        <v/>
      </c>
      <c r="C107" s="360"/>
      <c r="D107" s="361"/>
      <c r="E107" s="142"/>
      <c r="F107" s="140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2"/>
    </row>
    <row r="108" spans="2:41" ht="15" customHeight="1" thickBot="1">
      <c r="B108" s="355" t="str">
        <f>G83</f>
        <v/>
      </c>
      <c r="C108" s="356"/>
      <c r="D108" s="362"/>
      <c r="E108" s="133"/>
      <c r="F108" s="141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  <c r="AH108" s="136"/>
      <c r="AI108" s="136"/>
      <c r="AJ108" s="136"/>
      <c r="AK108" s="136"/>
      <c r="AL108" s="137"/>
      <c r="AM108" s="137"/>
      <c r="AN108" s="137"/>
      <c r="AO108" s="138"/>
    </row>
    <row r="109" spans="2:41" ht="15" customHeight="1">
      <c r="B109" s="357" t="str">
        <f>V82</f>
        <v/>
      </c>
      <c r="C109" s="358"/>
      <c r="D109" s="366"/>
      <c r="E109" s="63"/>
      <c r="F109" s="64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6"/>
    </row>
    <row r="110" spans="2:41" ht="15" customHeight="1" thickBot="1">
      <c r="B110" s="363" t="str">
        <f>V83</f>
        <v/>
      </c>
      <c r="C110" s="364"/>
      <c r="D110" s="365"/>
      <c r="E110" s="65"/>
      <c r="F110" s="67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2"/>
    </row>
    <row r="111" spans="2:41" ht="25.5" customHeight="1">
      <c r="AN111" s="27"/>
    </row>
    <row r="112" spans="2:41">
      <c r="M112" s="12" t="s">
        <v>16</v>
      </c>
      <c r="O112" s="27"/>
      <c r="Y112" s="12" t="s">
        <v>17</v>
      </c>
      <c r="AN112" s="27"/>
    </row>
    <row r="113" spans="1:41">
      <c r="O113" s="27"/>
      <c r="AN113" s="27"/>
    </row>
    <row r="114" spans="1:41">
      <c r="O114" s="27"/>
      <c r="AN114" s="27"/>
    </row>
    <row r="115" spans="1:41" ht="16.5" customHeight="1">
      <c r="A115" s="98"/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</row>
    <row r="116" spans="1:41" ht="24.75" customHeight="1">
      <c r="A116" s="98"/>
      <c r="B116" s="98"/>
      <c r="C116" s="98"/>
      <c r="D116" s="98"/>
      <c r="E116" s="98"/>
      <c r="F116" s="98"/>
      <c r="G116" s="99" t="s">
        <v>18</v>
      </c>
      <c r="H116" s="98"/>
      <c r="I116" s="98"/>
      <c r="J116" s="98"/>
      <c r="K116" s="98"/>
      <c r="L116" s="100"/>
      <c r="M116" s="98"/>
      <c r="N116" s="98"/>
      <c r="O116" s="98"/>
      <c r="P116" s="98"/>
      <c r="Q116" s="98"/>
      <c r="R116" s="98"/>
      <c r="S116" s="98"/>
      <c r="T116" s="101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</row>
    <row r="117" spans="1:41" ht="12" customHeight="1">
      <c r="A117" s="98"/>
      <c r="B117" s="102"/>
      <c r="C117" s="103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104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105"/>
      <c r="AO117" s="98"/>
    </row>
    <row r="118" spans="1:41" ht="18" customHeight="1" thickBot="1">
      <c r="A118" s="98"/>
      <c r="B118" s="102"/>
      <c r="C118" s="103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104"/>
      <c r="Q118" s="106"/>
      <c r="R118" s="109" t="s">
        <v>3</v>
      </c>
      <c r="T118" s="10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105"/>
      <c r="AO118" s="98"/>
    </row>
    <row r="119" spans="1:41" ht="16.5" thickBot="1">
      <c r="A119" s="106"/>
      <c r="B119" s="106" t="s">
        <v>2</v>
      </c>
      <c r="C119" s="184">
        <f>Spielbericht!A18</f>
        <v>0</v>
      </c>
      <c r="D119" s="106"/>
      <c r="E119" s="106"/>
      <c r="F119" s="108"/>
      <c r="G119" s="108"/>
      <c r="H119" s="108"/>
      <c r="I119" s="108"/>
      <c r="J119" s="108"/>
      <c r="K119" s="108"/>
      <c r="L119" s="108"/>
      <c r="M119" s="109"/>
      <c r="N119" s="109"/>
      <c r="O119" s="109"/>
      <c r="P119" s="109"/>
      <c r="Q119" s="113">
        <v>1</v>
      </c>
      <c r="R119" s="114"/>
      <c r="S119" s="115" t="s">
        <v>6</v>
      </c>
      <c r="T119" s="116"/>
      <c r="U119" s="108"/>
      <c r="V119" s="108"/>
      <c r="W119" s="108"/>
      <c r="X119" s="108"/>
      <c r="Y119" s="108"/>
      <c r="Z119" s="108"/>
      <c r="AA119" s="109"/>
      <c r="AB119" s="109"/>
      <c r="AC119" s="106"/>
      <c r="AD119" s="106"/>
      <c r="AE119" s="106"/>
      <c r="AF119" s="106"/>
      <c r="AH119" s="110"/>
      <c r="AI119" s="111" t="s">
        <v>4</v>
      </c>
      <c r="AJ119" s="110" t="s">
        <v>5</v>
      </c>
      <c r="AK119" s="110"/>
      <c r="AL119" s="110"/>
      <c r="AM119" s="110"/>
      <c r="AN119" s="109"/>
    </row>
    <row r="120" spans="1:41" ht="19.5" customHeight="1" thickBot="1">
      <c r="A120" s="106"/>
      <c r="B120" s="106" t="s">
        <v>85</v>
      </c>
      <c r="C120" s="145" t="str">
        <f>Spielbericht!B18</f>
        <v>1.HE</v>
      </c>
      <c r="D120" s="106"/>
      <c r="E120" s="109"/>
      <c r="F120" s="112"/>
      <c r="G120" s="382" t="str">
        <f>Spielbericht!C18</f>
        <v/>
      </c>
      <c r="H120" s="383"/>
      <c r="I120" s="383"/>
      <c r="J120" s="383"/>
      <c r="K120" s="383"/>
      <c r="L120" s="383"/>
      <c r="M120" s="383"/>
      <c r="N120" s="383"/>
      <c r="O120" s="384"/>
      <c r="P120" s="106"/>
      <c r="Q120" s="118">
        <v>2</v>
      </c>
      <c r="R120" s="119"/>
      <c r="S120" s="120" t="s">
        <v>6</v>
      </c>
      <c r="T120" s="121"/>
      <c r="U120" s="108"/>
      <c r="V120" s="373" t="str">
        <f>Spielbericht!F18</f>
        <v/>
      </c>
      <c r="W120" s="374"/>
      <c r="X120" s="374"/>
      <c r="Y120" s="374"/>
      <c r="Z120" s="374"/>
      <c r="AA120" s="374"/>
      <c r="AB120" s="374"/>
      <c r="AC120" s="374"/>
      <c r="AD120" s="375"/>
      <c r="AE120" s="117"/>
      <c r="AH120" s="110"/>
      <c r="AI120" s="111" t="s">
        <v>7</v>
      </c>
      <c r="AJ120" s="110" t="s">
        <v>5</v>
      </c>
      <c r="AK120" s="110"/>
      <c r="AL120" s="110"/>
      <c r="AM120" s="110"/>
      <c r="AN120" s="109"/>
    </row>
    <row r="121" spans="1:41" ht="19.5" customHeight="1" thickBot="1">
      <c r="A121" s="106"/>
      <c r="B121" s="106" t="s">
        <v>8</v>
      </c>
      <c r="C121" s="155"/>
      <c r="D121" s="106"/>
      <c r="E121" s="109"/>
      <c r="F121" s="108"/>
      <c r="G121" s="367"/>
      <c r="H121" s="368"/>
      <c r="I121" s="368"/>
      <c r="J121" s="368"/>
      <c r="K121" s="368"/>
      <c r="L121" s="368"/>
      <c r="M121" s="368"/>
      <c r="N121" s="368"/>
      <c r="O121" s="369"/>
      <c r="P121" s="106"/>
      <c r="Q121" s="118">
        <v>3</v>
      </c>
      <c r="R121" s="119"/>
      <c r="S121" s="120" t="s">
        <v>6</v>
      </c>
      <c r="T121" s="121"/>
      <c r="U121" s="108"/>
      <c r="V121" s="376"/>
      <c r="W121" s="377"/>
      <c r="X121" s="377"/>
      <c r="Y121" s="377"/>
      <c r="Z121" s="377"/>
      <c r="AA121" s="377"/>
      <c r="AB121" s="377"/>
      <c r="AC121" s="377"/>
      <c r="AD121" s="378"/>
      <c r="AE121" s="106"/>
      <c r="AG121" s="110" t="s">
        <v>9</v>
      </c>
      <c r="AH121" s="110"/>
      <c r="AI121" s="110" t="s">
        <v>10</v>
      </c>
      <c r="AJ121" s="110"/>
      <c r="AL121" s="111" t="s">
        <v>11</v>
      </c>
      <c r="AM121" s="110" t="s">
        <v>12</v>
      </c>
      <c r="AN121" s="109"/>
    </row>
    <row r="122" spans="1:41" ht="19.5" customHeight="1" thickBot="1">
      <c r="A122" s="106"/>
      <c r="B122" s="106" t="s">
        <v>13</v>
      </c>
      <c r="C122" s="156">
        <f>Spielbericht!W6</f>
        <v>0</v>
      </c>
      <c r="D122" s="106"/>
      <c r="E122" s="109"/>
      <c r="F122" s="108"/>
      <c r="G122" s="370" t="str">
        <f>Spielbericht!C10</f>
        <v>Heim</v>
      </c>
      <c r="H122" s="371"/>
      <c r="I122" s="371"/>
      <c r="J122" s="371"/>
      <c r="K122" s="371"/>
      <c r="L122" s="371"/>
      <c r="M122" s="371"/>
      <c r="N122" s="371"/>
      <c r="O122" s="372"/>
      <c r="P122" s="106"/>
      <c r="Q122" s="118">
        <v>4</v>
      </c>
      <c r="R122" s="119"/>
      <c r="S122" s="120" t="s">
        <v>6</v>
      </c>
      <c r="T122" s="121"/>
      <c r="U122" s="108"/>
      <c r="V122" s="379" t="str">
        <f>Spielbericht!F10</f>
        <v>Gast</v>
      </c>
      <c r="W122" s="380"/>
      <c r="X122" s="380"/>
      <c r="Y122" s="380"/>
      <c r="Z122" s="380"/>
      <c r="AA122" s="380"/>
      <c r="AB122" s="380"/>
      <c r="AC122" s="380"/>
      <c r="AD122" s="381"/>
      <c r="AE122" s="106"/>
      <c r="AG122" s="110" t="s">
        <v>14</v>
      </c>
      <c r="AH122" s="110"/>
      <c r="AI122" s="110" t="s">
        <v>10</v>
      </c>
      <c r="AJ122" s="110"/>
      <c r="AL122" s="111" t="s">
        <v>15</v>
      </c>
      <c r="AM122" s="110"/>
      <c r="AN122" s="109"/>
    </row>
    <row r="123" spans="1:41" ht="20.25" customHeight="1" thickBot="1">
      <c r="Q123" s="123">
        <v>5</v>
      </c>
      <c r="R123" s="124"/>
      <c r="S123" s="125" t="s">
        <v>6</v>
      </c>
      <c r="T123" s="126"/>
      <c r="AH123" s="106"/>
      <c r="AI123" s="106"/>
      <c r="AK123" s="127"/>
      <c r="AL123" s="127"/>
      <c r="AM123" s="127"/>
      <c r="AN123" s="27"/>
    </row>
    <row r="124" spans="1:41" ht="15.75" thickBot="1">
      <c r="AH124" s="106"/>
      <c r="AI124" s="106"/>
      <c r="AK124" s="127"/>
      <c r="AL124" s="127"/>
      <c r="AM124" s="127"/>
      <c r="AN124" s="27"/>
    </row>
    <row r="125" spans="1:41" ht="15" customHeight="1">
      <c r="B125" s="359" t="str">
        <f>G120</f>
        <v/>
      </c>
      <c r="C125" s="360"/>
      <c r="D125" s="361"/>
      <c r="E125" s="128"/>
      <c r="F125" s="129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1"/>
      <c r="AD125" s="130"/>
      <c r="AE125" s="130"/>
      <c r="AF125" s="130"/>
      <c r="AG125" s="130"/>
      <c r="AH125" s="130"/>
      <c r="AI125" s="130"/>
      <c r="AJ125" s="130"/>
      <c r="AK125" s="130"/>
      <c r="AL125" s="131"/>
      <c r="AM125" s="131"/>
      <c r="AN125" s="131"/>
      <c r="AO125" s="132"/>
    </row>
    <row r="126" spans="1:41" ht="15" customHeight="1" thickBot="1">
      <c r="B126" s="355">
        <f>G121</f>
        <v>0</v>
      </c>
      <c r="C126" s="356"/>
      <c r="D126" s="362"/>
      <c r="E126" s="133"/>
      <c r="F126" s="134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6"/>
      <c r="AD126" s="135"/>
      <c r="AE126" s="135"/>
      <c r="AF126" s="135"/>
      <c r="AG126" s="135"/>
      <c r="AH126" s="135"/>
      <c r="AI126" s="135"/>
      <c r="AJ126" s="135"/>
      <c r="AK126" s="135"/>
      <c r="AL126" s="137"/>
      <c r="AM126" s="137"/>
      <c r="AN126" s="137"/>
      <c r="AO126" s="138"/>
    </row>
    <row r="127" spans="1:41" ht="15" customHeight="1">
      <c r="B127" s="357" t="str">
        <f>V120</f>
        <v/>
      </c>
      <c r="C127" s="358"/>
      <c r="D127" s="3"/>
      <c r="E127" s="53"/>
      <c r="F127" s="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5"/>
      <c r="AD127" s="54"/>
      <c r="AE127" s="54"/>
      <c r="AF127" s="54"/>
      <c r="AG127" s="54"/>
      <c r="AH127" s="54"/>
      <c r="AI127" s="54"/>
      <c r="AJ127" s="54"/>
      <c r="AK127" s="54"/>
      <c r="AL127" s="55"/>
      <c r="AM127" s="55"/>
      <c r="AN127" s="55"/>
      <c r="AO127" s="56"/>
    </row>
    <row r="128" spans="1:41" ht="15" customHeight="1" thickBot="1">
      <c r="B128" s="363">
        <f>V121</f>
        <v>0</v>
      </c>
      <c r="C128" s="364"/>
      <c r="D128" s="365"/>
      <c r="E128" s="57"/>
      <c r="F128" s="58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60"/>
      <c r="AD128" s="59"/>
      <c r="AE128" s="59"/>
      <c r="AF128" s="59"/>
      <c r="AG128" s="59"/>
      <c r="AH128" s="59"/>
      <c r="AI128" s="59"/>
      <c r="AJ128" s="59"/>
      <c r="AK128" s="59"/>
      <c r="AL128" s="61"/>
      <c r="AM128" s="61"/>
      <c r="AN128" s="61"/>
      <c r="AO128" s="62"/>
    </row>
    <row r="129" spans="1:41" ht="6" customHeight="1" thickBot="1">
      <c r="A129" s="27"/>
      <c r="B129" s="153"/>
      <c r="C129" s="153"/>
      <c r="D129" s="153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</row>
    <row r="130" spans="1:41" ht="15" customHeight="1">
      <c r="B130" s="359" t="str">
        <f>G120</f>
        <v/>
      </c>
      <c r="C130" s="360"/>
      <c r="D130" s="149"/>
      <c r="E130" s="128"/>
      <c r="F130" s="140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2"/>
    </row>
    <row r="131" spans="1:41" ht="15" customHeight="1" thickBot="1">
      <c r="B131" s="355">
        <f>G121</f>
        <v>0</v>
      </c>
      <c r="C131" s="356"/>
      <c r="D131" s="152"/>
      <c r="E131" s="133"/>
      <c r="F131" s="141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136"/>
      <c r="AG131" s="136"/>
      <c r="AH131" s="136"/>
      <c r="AI131" s="136"/>
      <c r="AJ131" s="136"/>
      <c r="AK131" s="136"/>
      <c r="AL131" s="137"/>
      <c r="AM131" s="137"/>
      <c r="AN131" s="137"/>
      <c r="AO131" s="138"/>
    </row>
    <row r="132" spans="1:41" ht="15" customHeight="1">
      <c r="B132" s="357" t="str">
        <f>V120</f>
        <v/>
      </c>
      <c r="C132" s="358"/>
      <c r="D132" s="3"/>
      <c r="E132" s="63"/>
      <c r="F132" s="64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6"/>
    </row>
    <row r="133" spans="1:41" ht="15" customHeight="1" thickBot="1">
      <c r="B133" s="4">
        <f>V121</f>
        <v>0</v>
      </c>
      <c r="C133" s="5"/>
      <c r="D133" s="6"/>
      <c r="E133" s="65"/>
      <c r="F133" s="66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1"/>
      <c r="AM133" s="61"/>
      <c r="AN133" s="61"/>
      <c r="AO133" s="62"/>
    </row>
    <row r="134" spans="1:41" ht="6" customHeight="1" thickBot="1">
      <c r="A134" s="27"/>
      <c r="B134" s="154"/>
      <c r="C134" s="154"/>
      <c r="D134" s="154"/>
      <c r="E134" s="143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</row>
    <row r="135" spans="1:41" ht="15" customHeight="1">
      <c r="B135" s="147" t="str">
        <f>G120</f>
        <v/>
      </c>
      <c r="C135" s="148"/>
      <c r="D135" s="149"/>
      <c r="E135" s="142"/>
      <c r="F135" s="140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2"/>
    </row>
    <row r="136" spans="1:41" ht="15" customHeight="1" thickBot="1">
      <c r="B136" s="150">
        <f>G121</f>
        <v>0</v>
      </c>
      <c r="C136" s="151"/>
      <c r="D136" s="152"/>
      <c r="E136" s="133"/>
      <c r="F136" s="141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  <c r="AH136" s="136"/>
      <c r="AI136" s="136"/>
      <c r="AJ136" s="136"/>
      <c r="AK136" s="136"/>
      <c r="AL136" s="137"/>
      <c r="AM136" s="137"/>
      <c r="AN136" s="137"/>
      <c r="AO136" s="138"/>
    </row>
    <row r="137" spans="1:41" ht="15" customHeight="1">
      <c r="B137" s="1" t="str">
        <f>V120</f>
        <v/>
      </c>
      <c r="C137" s="2"/>
      <c r="D137" s="3"/>
      <c r="E137" s="63"/>
      <c r="F137" s="64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  <c r="AO137" s="56"/>
    </row>
    <row r="138" spans="1:41" ht="15" customHeight="1" thickBot="1">
      <c r="B138" s="4">
        <f>V121</f>
        <v>0</v>
      </c>
      <c r="C138" s="5"/>
      <c r="D138" s="6"/>
      <c r="E138" s="65"/>
      <c r="F138" s="66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1"/>
      <c r="AM138" s="61"/>
      <c r="AN138" s="61"/>
      <c r="AO138" s="62"/>
    </row>
    <row r="139" spans="1:41" ht="6" customHeight="1" thickBot="1">
      <c r="B139" s="154"/>
      <c r="C139" s="154"/>
      <c r="D139" s="154"/>
      <c r="E139" s="143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</row>
    <row r="140" spans="1:41" ht="15" customHeight="1">
      <c r="B140" s="147" t="str">
        <f>G120</f>
        <v/>
      </c>
      <c r="C140" s="148"/>
      <c r="D140" s="149"/>
      <c r="E140" s="142"/>
      <c r="F140" s="140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2"/>
    </row>
    <row r="141" spans="1:41" ht="15" customHeight="1" thickBot="1">
      <c r="B141" s="150">
        <f>G121</f>
        <v>0</v>
      </c>
      <c r="C141" s="151"/>
      <c r="D141" s="152"/>
      <c r="E141" s="133"/>
      <c r="F141" s="141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136"/>
      <c r="AG141" s="136"/>
      <c r="AH141" s="136"/>
      <c r="AI141" s="136"/>
      <c r="AJ141" s="136"/>
      <c r="AK141" s="136"/>
      <c r="AL141" s="137"/>
      <c r="AM141" s="137"/>
      <c r="AN141" s="137"/>
      <c r="AO141" s="138"/>
    </row>
    <row r="142" spans="1:41" ht="15" customHeight="1">
      <c r="B142" s="1" t="str">
        <f>V120</f>
        <v/>
      </c>
      <c r="C142" s="2"/>
      <c r="D142" s="3"/>
      <c r="E142" s="63"/>
      <c r="F142" s="64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6"/>
    </row>
    <row r="143" spans="1:41" ht="15" customHeight="1" thickBot="1">
      <c r="B143" s="4">
        <f>V121</f>
        <v>0</v>
      </c>
      <c r="C143" s="5"/>
      <c r="D143" s="6"/>
      <c r="E143" s="65"/>
      <c r="F143" s="67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2"/>
    </row>
    <row r="144" spans="1:41" ht="6" customHeight="1" thickBot="1">
      <c r="B144" s="153"/>
      <c r="C144" s="153"/>
      <c r="D144" s="153"/>
      <c r="E144" s="139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</row>
    <row r="145" spans="1:41" ht="15" customHeight="1">
      <c r="B145" s="147" t="str">
        <f>G120</f>
        <v/>
      </c>
      <c r="C145" s="148"/>
      <c r="D145" s="149"/>
      <c r="E145" s="142"/>
      <c r="F145" s="140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2"/>
    </row>
    <row r="146" spans="1:41" ht="15" customHeight="1" thickBot="1">
      <c r="B146" s="150">
        <f>G121</f>
        <v>0</v>
      </c>
      <c r="C146" s="151"/>
      <c r="D146" s="152"/>
      <c r="E146" s="133"/>
      <c r="F146" s="141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136"/>
      <c r="AG146" s="136"/>
      <c r="AH146" s="136"/>
      <c r="AI146" s="136"/>
      <c r="AJ146" s="136"/>
      <c r="AK146" s="136"/>
      <c r="AL146" s="137"/>
      <c r="AM146" s="137"/>
      <c r="AN146" s="137"/>
      <c r="AO146" s="138"/>
    </row>
    <row r="147" spans="1:41" ht="15" customHeight="1">
      <c r="B147" s="1" t="str">
        <f>V120</f>
        <v/>
      </c>
      <c r="C147" s="2"/>
      <c r="D147" s="3"/>
      <c r="E147" s="63"/>
      <c r="F147" s="64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6"/>
    </row>
    <row r="148" spans="1:41" ht="15" customHeight="1" thickBot="1">
      <c r="B148" s="4">
        <f>V121</f>
        <v>0</v>
      </c>
      <c r="C148" s="5"/>
      <c r="D148" s="6"/>
      <c r="E148" s="65"/>
      <c r="F148" s="67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2"/>
    </row>
    <row r="149" spans="1:41" ht="25.5" customHeight="1">
      <c r="AN149" s="27"/>
    </row>
    <row r="150" spans="1:41">
      <c r="M150" s="12" t="s">
        <v>16</v>
      </c>
      <c r="O150" s="27"/>
      <c r="Y150" s="12" t="s">
        <v>17</v>
      </c>
      <c r="AN150" s="27"/>
    </row>
    <row r="151" spans="1:41">
      <c r="O151" s="27"/>
      <c r="AN151" s="27"/>
    </row>
    <row r="152" spans="1:41">
      <c r="O152" s="27"/>
      <c r="AN152" s="27"/>
    </row>
    <row r="153" spans="1:41" ht="16.5" customHeight="1">
      <c r="A153" s="98"/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</row>
    <row r="154" spans="1:41" ht="24.75" customHeight="1">
      <c r="A154" s="98"/>
      <c r="B154" s="98"/>
      <c r="C154" s="98"/>
      <c r="D154" s="98"/>
      <c r="E154" s="98"/>
      <c r="F154" s="98"/>
      <c r="G154" s="99" t="s">
        <v>18</v>
      </c>
      <c r="H154" s="98"/>
      <c r="I154" s="98"/>
      <c r="J154" s="98"/>
      <c r="K154" s="98"/>
      <c r="L154" s="100"/>
      <c r="M154" s="98"/>
      <c r="N154" s="98"/>
      <c r="O154" s="98"/>
      <c r="P154" s="98"/>
      <c r="Q154" s="98"/>
      <c r="R154" s="98"/>
      <c r="S154" s="98"/>
      <c r="T154" s="101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</row>
    <row r="155" spans="1:41" ht="12" customHeight="1">
      <c r="A155" s="98"/>
      <c r="B155" s="102"/>
      <c r="C155" s="103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104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105"/>
      <c r="AO155" s="98"/>
    </row>
    <row r="156" spans="1:41" ht="18" customHeight="1" thickBot="1">
      <c r="A156" s="98"/>
      <c r="B156" s="102"/>
      <c r="C156" s="103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104"/>
      <c r="Q156" s="106"/>
      <c r="R156" s="109" t="s">
        <v>3</v>
      </c>
      <c r="T156" s="10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105"/>
      <c r="AO156" s="98"/>
    </row>
    <row r="157" spans="1:41" ht="16.5" thickBot="1">
      <c r="A157" s="106"/>
      <c r="B157" s="106" t="s">
        <v>2</v>
      </c>
      <c r="C157" s="184">
        <f>Spielbericht!A19</f>
        <v>0</v>
      </c>
      <c r="D157" s="106"/>
      <c r="E157" s="106"/>
      <c r="F157" s="108"/>
      <c r="G157" s="108"/>
      <c r="H157" s="108"/>
      <c r="I157" s="108"/>
      <c r="J157" s="108"/>
      <c r="K157" s="108"/>
      <c r="L157" s="108"/>
      <c r="M157" s="109"/>
      <c r="N157" s="109"/>
      <c r="O157" s="109"/>
      <c r="P157" s="109"/>
      <c r="Q157" s="113">
        <v>1</v>
      </c>
      <c r="R157" s="114"/>
      <c r="S157" s="115" t="s">
        <v>6</v>
      </c>
      <c r="T157" s="116"/>
      <c r="U157" s="108"/>
      <c r="V157" s="108"/>
      <c r="W157" s="108"/>
      <c r="X157" s="108"/>
      <c r="Y157" s="108"/>
      <c r="Z157" s="108"/>
      <c r="AA157" s="109"/>
      <c r="AB157" s="109"/>
      <c r="AC157" s="106"/>
      <c r="AD157" s="106"/>
      <c r="AE157" s="106"/>
      <c r="AF157" s="106"/>
      <c r="AH157" s="110"/>
      <c r="AI157" s="111" t="s">
        <v>4</v>
      </c>
      <c r="AJ157" s="385" t="s">
        <v>5</v>
      </c>
      <c r="AK157" s="385"/>
      <c r="AL157" s="385"/>
      <c r="AM157" s="385"/>
      <c r="AN157" s="109"/>
    </row>
    <row r="158" spans="1:41" ht="19.5" customHeight="1" thickBot="1">
      <c r="A158" s="106"/>
      <c r="B158" s="106" t="s">
        <v>85</v>
      </c>
      <c r="C158" s="145" t="str">
        <f>Spielbericht!B19</f>
        <v>DE</v>
      </c>
      <c r="D158" s="106"/>
      <c r="E158" s="109"/>
      <c r="F158" s="112"/>
      <c r="G158" s="382" t="str">
        <f>Spielbericht!C19</f>
        <v/>
      </c>
      <c r="H158" s="383"/>
      <c r="I158" s="383"/>
      <c r="J158" s="383"/>
      <c r="K158" s="383"/>
      <c r="L158" s="383"/>
      <c r="M158" s="383"/>
      <c r="N158" s="383"/>
      <c r="O158" s="384"/>
      <c r="P158" s="106"/>
      <c r="Q158" s="118">
        <v>2</v>
      </c>
      <c r="R158" s="119"/>
      <c r="S158" s="120" t="s">
        <v>6</v>
      </c>
      <c r="T158" s="121"/>
      <c r="U158" s="108"/>
      <c r="V158" s="373" t="str">
        <f>Spielbericht!F19</f>
        <v/>
      </c>
      <c r="W158" s="374"/>
      <c r="X158" s="374"/>
      <c r="Y158" s="374"/>
      <c r="Z158" s="374"/>
      <c r="AA158" s="374"/>
      <c r="AB158" s="374"/>
      <c r="AC158" s="374"/>
      <c r="AD158" s="375"/>
      <c r="AE158" s="117"/>
      <c r="AH158" s="110"/>
      <c r="AI158" s="111" t="s">
        <v>7</v>
      </c>
      <c r="AJ158" s="385" t="s">
        <v>5</v>
      </c>
      <c r="AK158" s="385"/>
      <c r="AL158" s="385"/>
      <c r="AM158" s="385"/>
      <c r="AN158" s="109"/>
    </row>
    <row r="159" spans="1:41" ht="19.5" customHeight="1" thickBot="1">
      <c r="A159" s="106"/>
      <c r="B159" s="106" t="s">
        <v>8</v>
      </c>
      <c r="C159" s="155"/>
      <c r="D159" s="106"/>
      <c r="E159" s="109"/>
      <c r="F159" s="108"/>
      <c r="G159" s="367"/>
      <c r="H159" s="368"/>
      <c r="I159" s="368"/>
      <c r="J159" s="368"/>
      <c r="K159" s="368"/>
      <c r="L159" s="368"/>
      <c r="M159" s="368"/>
      <c r="N159" s="368"/>
      <c r="O159" s="369"/>
      <c r="P159" s="106"/>
      <c r="Q159" s="118">
        <v>3</v>
      </c>
      <c r="R159" s="119"/>
      <c r="S159" s="120" t="s">
        <v>6</v>
      </c>
      <c r="T159" s="121"/>
      <c r="U159" s="108"/>
      <c r="V159" s="376"/>
      <c r="W159" s="377"/>
      <c r="X159" s="377"/>
      <c r="Y159" s="377"/>
      <c r="Z159" s="377"/>
      <c r="AA159" s="377"/>
      <c r="AB159" s="377"/>
      <c r="AC159" s="377"/>
      <c r="AD159" s="378"/>
      <c r="AE159" s="106"/>
      <c r="AG159" s="110" t="s">
        <v>9</v>
      </c>
      <c r="AH159" s="110"/>
      <c r="AI159" s="385" t="s">
        <v>10</v>
      </c>
      <c r="AJ159" s="385"/>
      <c r="AL159" s="111" t="s">
        <v>11</v>
      </c>
      <c r="AM159" s="110" t="s">
        <v>12</v>
      </c>
      <c r="AN159" s="109"/>
    </row>
    <row r="160" spans="1:41" ht="19.5" customHeight="1" thickBot="1">
      <c r="A160" s="106"/>
      <c r="B160" s="106" t="s">
        <v>13</v>
      </c>
      <c r="C160" s="156">
        <f>Spielbericht!W6</f>
        <v>0</v>
      </c>
      <c r="D160" s="106"/>
      <c r="E160" s="109"/>
      <c r="F160" s="108"/>
      <c r="G160" s="370" t="str">
        <f>Spielbericht!C10</f>
        <v>Heim</v>
      </c>
      <c r="H160" s="371"/>
      <c r="I160" s="371"/>
      <c r="J160" s="371"/>
      <c r="K160" s="371"/>
      <c r="L160" s="371"/>
      <c r="M160" s="371"/>
      <c r="N160" s="371"/>
      <c r="O160" s="372"/>
      <c r="P160" s="106"/>
      <c r="Q160" s="118">
        <v>4</v>
      </c>
      <c r="R160" s="119"/>
      <c r="S160" s="120" t="s">
        <v>6</v>
      </c>
      <c r="T160" s="121"/>
      <c r="U160" s="108"/>
      <c r="V160" s="379" t="str">
        <f>Spielbericht!F10</f>
        <v>Gast</v>
      </c>
      <c r="W160" s="380"/>
      <c r="X160" s="380"/>
      <c r="Y160" s="380"/>
      <c r="Z160" s="380"/>
      <c r="AA160" s="380"/>
      <c r="AB160" s="380"/>
      <c r="AC160" s="380"/>
      <c r="AD160" s="381"/>
      <c r="AE160" s="106"/>
      <c r="AG160" s="110" t="s">
        <v>14</v>
      </c>
      <c r="AH160" s="110"/>
      <c r="AI160" s="385" t="s">
        <v>10</v>
      </c>
      <c r="AJ160" s="385"/>
      <c r="AL160" s="111" t="s">
        <v>15</v>
      </c>
      <c r="AM160" s="110"/>
      <c r="AN160" s="109"/>
    </row>
    <row r="161" spans="1:41" ht="20.25" customHeight="1" thickBot="1">
      <c r="Q161" s="123">
        <v>5</v>
      </c>
      <c r="R161" s="124"/>
      <c r="S161" s="125" t="s">
        <v>6</v>
      </c>
      <c r="T161" s="126"/>
      <c r="AH161" s="106"/>
      <c r="AI161" s="106"/>
      <c r="AK161" s="127"/>
      <c r="AL161" s="127"/>
      <c r="AM161" s="127"/>
      <c r="AN161" s="27"/>
    </row>
    <row r="162" spans="1:41" ht="15.75" thickBot="1">
      <c r="AH162" s="106"/>
      <c r="AI162" s="106"/>
      <c r="AK162" s="127"/>
      <c r="AL162" s="127"/>
      <c r="AM162" s="127"/>
      <c r="AN162" s="27"/>
    </row>
    <row r="163" spans="1:41" ht="15" customHeight="1">
      <c r="B163" s="359" t="str">
        <f>G158</f>
        <v/>
      </c>
      <c r="C163" s="360"/>
      <c r="D163" s="361"/>
      <c r="E163" s="128"/>
      <c r="F163" s="129"/>
      <c r="G163" s="130"/>
      <c r="H163" s="130"/>
      <c r="I163" s="130"/>
      <c r="J163" s="130"/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  <c r="Y163" s="130"/>
      <c r="Z163" s="130"/>
      <c r="AA163" s="130"/>
      <c r="AB163" s="130"/>
      <c r="AC163" s="131"/>
      <c r="AD163" s="130"/>
      <c r="AE163" s="130"/>
      <c r="AF163" s="130"/>
      <c r="AG163" s="130"/>
      <c r="AH163" s="130"/>
      <c r="AI163" s="130"/>
      <c r="AJ163" s="130"/>
      <c r="AK163" s="130"/>
      <c r="AL163" s="131"/>
      <c r="AM163" s="131"/>
      <c r="AN163" s="131"/>
      <c r="AO163" s="132"/>
    </row>
    <row r="164" spans="1:41" ht="15" customHeight="1" thickBot="1">
      <c r="B164" s="355">
        <f>G159</f>
        <v>0</v>
      </c>
      <c r="C164" s="356"/>
      <c r="D164" s="362"/>
      <c r="E164" s="133"/>
      <c r="F164" s="134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6"/>
      <c r="AD164" s="135"/>
      <c r="AE164" s="135"/>
      <c r="AF164" s="135"/>
      <c r="AG164" s="135"/>
      <c r="AH164" s="135"/>
      <c r="AI164" s="135"/>
      <c r="AJ164" s="135"/>
      <c r="AK164" s="135"/>
      <c r="AL164" s="137"/>
      <c r="AM164" s="137"/>
      <c r="AN164" s="137"/>
      <c r="AO164" s="138"/>
    </row>
    <row r="165" spans="1:41" ht="15" customHeight="1">
      <c r="B165" s="357" t="str">
        <f>V158</f>
        <v/>
      </c>
      <c r="C165" s="358"/>
      <c r="D165" s="366"/>
      <c r="E165" s="53"/>
      <c r="F165" s="7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5"/>
      <c r="AD165" s="54"/>
      <c r="AE165" s="54"/>
      <c r="AF165" s="54"/>
      <c r="AG165" s="54"/>
      <c r="AH165" s="54"/>
      <c r="AI165" s="54"/>
      <c r="AJ165" s="54"/>
      <c r="AK165" s="54"/>
      <c r="AL165" s="55"/>
      <c r="AM165" s="55"/>
      <c r="AN165" s="55"/>
      <c r="AO165" s="56"/>
    </row>
    <row r="166" spans="1:41" ht="15" customHeight="1" thickBot="1">
      <c r="B166" s="363">
        <f>V159</f>
        <v>0</v>
      </c>
      <c r="C166" s="364"/>
      <c r="D166" s="365"/>
      <c r="E166" s="57"/>
      <c r="F166" s="58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60"/>
      <c r="AD166" s="59"/>
      <c r="AE166" s="59"/>
      <c r="AF166" s="59"/>
      <c r="AG166" s="59"/>
      <c r="AH166" s="59"/>
      <c r="AI166" s="59"/>
      <c r="AJ166" s="59"/>
      <c r="AK166" s="59"/>
      <c r="AL166" s="61"/>
      <c r="AM166" s="61"/>
      <c r="AN166" s="61"/>
      <c r="AO166" s="62"/>
    </row>
    <row r="167" spans="1:41" ht="6" customHeight="1" thickBot="1">
      <c r="A167" s="27"/>
      <c r="B167" s="153"/>
      <c r="C167" s="153"/>
      <c r="D167" s="153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</row>
    <row r="168" spans="1:41" ht="15" customHeight="1">
      <c r="B168" s="359" t="str">
        <f>G158</f>
        <v/>
      </c>
      <c r="C168" s="360"/>
      <c r="D168" s="361"/>
      <c r="E168" s="128"/>
      <c r="F168" s="140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2"/>
    </row>
    <row r="169" spans="1:41" ht="15" customHeight="1" thickBot="1">
      <c r="B169" s="355">
        <f>G159</f>
        <v>0</v>
      </c>
      <c r="C169" s="356"/>
      <c r="D169" s="362"/>
      <c r="E169" s="133"/>
      <c r="F169" s="141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136"/>
      <c r="AG169" s="136"/>
      <c r="AH169" s="136"/>
      <c r="AI169" s="136"/>
      <c r="AJ169" s="136"/>
      <c r="AK169" s="136"/>
      <c r="AL169" s="137"/>
      <c r="AM169" s="137"/>
      <c r="AN169" s="137"/>
      <c r="AO169" s="138"/>
    </row>
    <row r="170" spans="1:41" ht="15" customHeight="1">
      <c r="B170" s="357" t="str">
        <f>V158</f>
        <v/>
      </c>
      <c r="C170" s="358"/>
      <c r="D170" s="366"/>
      <c r="E170" s="63"/>
      <c r="F170" s="64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6"/>
    </row>
    <row r="171" spans="1:41" ht="15" customHeight="1" thickBot="1">
      <c r="B171" s="363">
        <f>V159</f>
        <v>0</v>
      </c>
      <c r="C171" s="364"/>
      <c r="D171" s="365"/>
      <c r="E171" s="65"/>
      <c r="F171" s="66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1"/>
      <c r="AM171" s="61"/>
      <c r="AN171" s="61"/>
      <c r="AO171" s="62"/>
    </row>
    <row r="172" spans="1:41" ht="6" customHeight="1" thickBot="1">
      <c r="A172" s="27"/>
      <c r="B172" s="154"/>
      <c r="C172" s="154"/>
      <c r="D172" s="154"/>
      <c r="E172" s="143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</row>
    <row r="173" spans="1:41" ht="15" customHeight="1">
      <c r="B173" s="359" t="str">
        <f>G158</f>
        <v/>
      </c>
      <c r="C173" s="360"/>
      <c r="D173" s="361"/>
      <c r="E173" s="142"/>
      <c r="F173" s="140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2"/>
    </row>
    <row r="174" spans="1:41" ht="15" customHeight="1" thickBot="1">
      <c r="B174" s="355">
        <f>G159</f>
        <v>0</v>
      </c>
      <c r="C174" s="356"/>
      <c r="D174" s="362"/>
      <c r="E174" s="133"/>
      <c r="F174" s="141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7"/>
      <c r="AM174" s="137"/>
      <c r="AN174" s="137"/>
      <c r="AO174" s="138"/>
    </row>
    <row r="175" spans="1:41" ht="15" customHeight="1">
      <c r="B175" s="357" t="str">
        <f>V158</f>
        <v/>
      </c>
      <c r="C175" s="358"/>
      <c r="D175" s="366"/>
      <c r="E175" s="63"/>
      <c r="F175" s="64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6"/>
    </row>
    <row r="176" spans="1:41" ht="15" customHeight="1" thickBot="1">
      <c r="B176" s="363">
        <f>V159</f>
        <v>0</v>
      </c>
      <c r="C176" s="364"/>
      <c r="D176" s="365"/>
      <c r="E176" s="65"/>
      <c r="F176" s="66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1"/>
      <c r="AM176" s="61"/>
      <c r="AN176" s="61"/>
      <c r="AO176" s="62"/>
    </row>
    <row r="177" spans="1:41" ht="6" customHeight="1" thickBot="1">
      <c r="B177" s="154"/>
      <c r="C177" s="154"/>
      <c r="D177" s="154"/>
      <c r="E177" s="143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</row>
    <row r="178" spans="1:41" ht="15" customHeight="1">
      <c r="B178" s="359" t="str">
        <f>G158</f>
        <v/>
      </c>
      <c r="C178" s="360"/>
      <c r="D178" s="361"/>
      <c r="E178" s="142"/>
      <c r="F178" s="140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2"/>
    </row>
    <row r="179" spans="1:41" ht="15" customHeight="1" thickBot="1">
      <c r="B179" s="355">
        <f>G159</f>
        <v>0</v>
      </c>
      <c r="C179" s="356"/>
      <c r="D179" s="362"/>
      <c r="E179" s="133"/>
      <c r="F179" s="141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136"/>
      <c r="AG179" s="136"/>
      <c r="AH179" s="136"/>
      <c r="AI179" s="136"/>
      <c r="AJ179" s="136"/>
      <c r="AK179" s="136"/>
      <c r="AL179" s="137"/>
      <c r="AM179" s="137"/>
      <c r="AN179" s="137"/>
      <c r="AO179" s="138"/>
    </row>
    <row r="180" spans="1:41" ht="15" customHeight="1">
      <c r="B180" s="357" t="str">
        <f>V158</f>
        <v/>
      </c>
      <c r="C180" s="358"/>
      <c r="D180" s="366"/>
      <c r="E180" s="63"/>
      <c r="F180" s="64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6"/>
    </row>
    <row r="181" spans="1:41" ht="15" customHeight="1" thickBot="1">
      <c r="B181" s="363">
        <f>V159</f>
        <v>0</v>
      </c>
      <c r="C181" s="364"/>
      <c r="D181" s="365"/>
      <c r="E181" s="65"/>
      <c r="F181" s="67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2"/>
    </row>
    <row r="182" spans="1:41" ht="6" customHeight="1" thickBot="1">
      <c r="B182" s="153"/>
      <c r="C182" s="153"/>
      <c r="D182" s="153"/>
      <c r="E182" s="139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</row>
    <row r="183" spans="1:41" ht="15" customHeight="1">
      <c r="B183" s="359" t="str">
        <f>G158</f>
        <v/>
      </c>
      <c r="C183" s="360"/>
      <c r="D183" s="361"/>
      <c r="E183" s="142"/>
      <c r="F183" s="140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2"/>
    </row>
    <row r="184" spans="1:41" ht="15" customHeight="1" thickBot="1">
      <c r="B184" s="355">
        <f>G159</f>
        <v>0</v>
      </c>
      <c r="C184" s="356"/>
      <c r="D184" s="362"/>
      <c r="E184" s="133"/>
      <c r="F184" s="141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  <c r="AH184" s="136"/>
      <c r="AI184" s="136"/>
      <c r="AJ184" s="136"/>
      <c r="AK184" s="136"/>
      <c r="AL184" s="137"/>
      <c r="AM184" s="137"/>
      <c r="AN184" s="137"/>
      <c r="AO184" s="138"/>
    </row>
    <row r="185" spans="1:41" ht="15" customHeight="1">
      <c r="B185" s="357" t="str">
        <f>V158</f>
        <v/>
      </c>
      <c r="C185" s="358"/>
      <c r="D185" s="366"/>
      <c r="E185" s="63"/>
      <c r="F185" s="64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6"/>
    </row>
    <row r="186" spans="1:41" ht="15" customHeight="1" thickBot="1">
      <c r="B186" s="363">
        <f>V159</f>
        <v>0</v>
      </c>
      <c r="C186" s="364"/>
      <c r="D186" s="365"/>
      <c r="E186" s="65"/>
      <c r="F186" s="67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2"/>
    </row>
    <row r="187" spans="1:41" ht="25.5" customHeight="1">
      <c r="AN187" s="27"/>
    </row>
    <row r="188" spans="1:41">
      <c r="M188" s="12" t="s">
        <v>16</v>
      </c>
      <c r="O188" s="27"/>
      <c r="Y188" s="12" t="s">
        <v>17</v>
      </c>
      <c r="AN188" s="27"/>
    </row>
    <row r="189" spans="1:41">
      <c r="O189" s="27"/>
      <c r="AN189" s="27"/>
    </row>
    <row r="190" spans="1:41">
      <c r="O190" s="27"/>
      <c r="AN190" s="27"/>
    </row>
    <row r="191" spans="1:41" ht="16.5" customHeight="1">
      <c r="A191" s="98"/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</row>
    <row r="192" spans="1:41" ht="24.75" customHeight="1">
      <c r="A192" s="98"/>
      <c r="B192" s="98"/>
      <c r="C192" s="98"/>
      <c r="D192" s="98"/>
      <c r="E192" s="98"/>
      <c r="F192" s="98"/>
      <c r="G192" s="99" t="s">
        <v>18</v>
      </c>
      <c r="H192" s="98"/>
      <c r="I192" s="98"/>
      <c r="J192" s="98"/>
      <c r="K192" s="98"/>
      <c r="L192" s="100"/>
      <c r="M192" s="98"/>
      <c r="N192" s="98"/>
      <c r="O192" s="98"/>
      <c r="P192" s="98"/>
      <c r="Q192" s="98"/>
      <c r="R192" s="98"/>
      <c r="S192" s="98"/>
      <c r="T192" s="101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</row>
    <row r="193" spans="1:41" ht="12" customHeight="1">
      <c r="A193" s="98"/>
      <c r="B193" s="102"/>
      <c r="C193" s="103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104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105"/>
      <c r="AO193" s="98"/>
    </row>
    <row r="194" spans="1:41" ht="18" customHeight="1" thickBot="1">
      <c r="A194" s="98"/>
      <c r="B194" s="102"/>
      <c r="C194" s="103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104"/>
      <c r="Q194" s="106"/>
      <c r="R194" s="109" t="s">
        <v>3</v>
      </c>
      <c r="T194" s="10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105"/>
      <c r="AO194" s="98"/>
    </row>
    <row r="195" spans="1:41" ht="16.5" thickBot="1">
      <c r="A195" s="106"/>
      <c r="B195" s="106" t="s">
        <v>2</v>
      </c>
      <c r="C195" s="184">
        <f>Spielbericht!A20</f>
        <v>0</v>
      </c>
      <c r="D195" s="106"/>
      <c r="E195" s="106"/>
      <c r="F195" s="108"/>
      <c r="G195" s="108"/>
      <c r="H195" s="108"/>
      <c r="I195" s="108"/>
      <c r="J195" s="108"/>
      <c r="K195" s="108"/>
      <c r="L195" s="108"/>
      <c r="M195" s="109"/>
      <c r="N195" s="109"/>
      <c r="O195" s="109"/>
      <c r="P195" s="109"/>
      <c r="Q195" s="113">
        <v>1</v>
      </c>
      <c r="R195" s="114"/>
      <c r="S195" s="115" t="s">
        <v>6</v>
      </c>
      <c r="T195" s="116"/>
      <c r="U195" s="108"/>
      <c r="V195" s="108"/>
      <c r="W195" s="108"/>
      <c r="X195" s="108"/>
      <c r="Y195" s="108"/>
      <c r="Z195" s="108"/>
      <c r="AA195" s="109"/>
      <c r="AB195" s="109"/>
      <c r="AC195" s="106"/>
      <c r="AD195" s="106"/>
      <c r="AE195" s="106"/>
      <c r="AF195" s="106"/>
      <c r="AH195" s="110"/>
      <c r="AI195" s="111" t="s">
        <v>4</v>
      </c>
      <c r="AJ195" s="385" t="s">
        <v>5</v>
      </c>
      <c r="AK195" s="385"/>
      <c r="AL195" s="385"/>
      <c r="AM195" s="385"/>
      <c r="AN195" s="109"/>
    </row>
    <row r="196" spans="1:41" ht="19.5" customHeight="1" thickBot="1">
      <c r="A196" s="106"/>
      <c r="B196" s="106" t="s">
        <v>85</v>
      </c>
      <c r="C196" s="145" t="s">
        <v>0</v>
      </c>
      <c r="D196" s="106"/>
      <c r="E196" s="109"/>
      <c r="F196" s="112"/>
      <c r="G196" s="382" t="str">
        <f>Spielbericht!C20</f>
        <v/>
      </c>
      <c r="H196" s="383"/>
      <c r="I196" s="383"/>
      <c r="J196" s="383"/>
      <c r="K196" s="383"/>
      <c r="L196" s="383"/>
      <c r="M196" s="383"/>
      <c r="N196" s="383"/>
      <c r="O196" s="384"/>
      <c r="P196" s="106"/>
      <c r="Q196" s="118">
        <v>2</v>
      </c>
      <c r="R196" s="119"/>
      <c r="S196" s="120" t="s">
        <v>6</v>
      </c>
      <c r="T196" s="121"/>
      <c r="U196" s="108"/>
      <c r="V196" s="373" t="str">
        <f>Spielbericht!F20</f>
        <v/>
      </c>
      <c r="W196" s="374"/>
      <c r="X196" s="374"/>
      <c r="Y196" s="374"/>
      <c r="Z196" s="374"/>
      <c r="AA196" s="374"/>
      <c r="AB196" s="374"/>
      <c r="AC196" s="374"/>
      <c r="AD196" s="375"/>
      <c r="AE196" s="117"/>
      <c r="AH196" s="110"/>
      <c r="AI196" s="111" t="s">
        <v>7</v>
      </c>
      <c r="AJ196" s="385" t="s">
        <v>5</v>
      </c>
      <c r="AK196" s="385"/>
      <c r="AL196" s="385"/>
      <c r="AM196" s="385"/>
      <c r="AN196" s="109"/>
    </row>
    <row r="197" spans="1:41" ht="19.5" customHeight="1" thickBot="1">
      <c r="A197" s="106"/>
      <c r="B197" s="106" t="s">
        <v>8</v>
      </c>
      <c r="C197" s="155"/>
      <c r="D197" s="106"/>
      <c r="E197" s="109"/>
      <c r="F197" s="108"/>
      <c r="G197" s="367" t="str">
        <f>Spielbericht!C21</f>
        <v/>
      </c>
      <c r="H197" s="368"/>
      <c r="I197" s="368"/>
      <c r="J197" s="368"/>
      <c r="K197" s="368"/>
      <c r="L197" s="368"/>
      <c r="M197" s="368"/>
      <c r="N197" s="368"/>
      <c r="O197" s="369"/>
      <c r="P197" s="106"/>
      <c r="Q197" s="118">
        <v>3</v>
      </c>
      <c r="R197" s="119"/>
      <c r="S197" s="120" t="s">
        <v>6</v>
      </c>
      <c r="T197" s="121"/>
      <c r="U197" s="108"/>
      <c r="V197" s="376" t="str">
        <f>Spielbericht!F21</f>
        <v/>
      </c>
      <c r="W197" s="377"/>
      <c r="X197" s="377"/>
      <c r="Y197" s="377"/>
      <c r="Z197" s="377"/>
      <c r="AA197" s="377"/>
      <c r="AB197" s="377"/>
      <c r="AC197" s="377"/>
      <c r="AD197" s="378"/>
      <c r="AE197" s="106"/>
      <c r="AG197" s="110" t="s">
        <v>9</v>
      </c>
      <c r="AH197" s="110"/>
      <c r="AI197" s="385" t="s">
        <v>10</v>
      </c>
      <c r="AJ197" s="385"/>
      <c r="AL197" s="111" t="s">
        <v>11</v>
      </c>
      <c r="AM197" s="110" t="s">
        <v>12</v>
      </c>
      <c r="AN197" s="109"/>
    </row>
    <row r="198" spans="1:41" ht="19.5" customHeight="1" thickBot="1">
      <c r="A198" s="106"/>
      <c r="B198" s="106" t="s">
        <v>13</v>
      </c>
      <c r="C198" s="156">
        <f>Spielbericht!W6</f>
        <v>0</v>
      </c>
      <c r="D198" s="106"/>
      <c r="E198" s="109"/>
      <c r="F198" s="108"/>
      <c r="G198" s="370" t="str">
        <f>Spielbericht!C10</f>
        <v>Heim</v>
      </c>
      <c r="H198" s="371"/>
      <c r="I198" s="371"/>
      <c r="J198" s="371"/>
      <c r="K198" s="371"/>
      <c r="L198" s="371"/>
      <c r="M198" s="371"/>
      <c r="N198" s="371"/>
      <c r="O198" s="372"/>
      <c r="P198" s="106"/>
      <c r="Q198" s="118">
        <v>4</v>
      </c>
      <c r="R198" s="119"/>
      <c r="S198" s="120" t="s">
        <v>6</v>
      </c>
      <c r="T198" s="121"/>
      <c r="U198" s="108"/>
      <c r="V198" s="379" t="str">
        <f>Spielbericht!F10</f>
        <v>Gast</v>
      </c>
      <c r="W198" s="380"/>
      <c r="X198" s="380"/>
      <c r="Y198" s="380"/>
      <c r="Z198" s="380"/>
      <c r="AA198" s="380"/>
      <c r="AB198" s="380"/>
      <c r="AC198" s="380"/>
      <c r="AD198" s="381"/>
      <c r="AE198" s="106"/>
      <c r="AG198" s="110" t="s">
        <v>14</v>
      </c>
      <c r="AH198" s="110"/>
      <c r="AI198" s="385" t="s">
        <v>10</v>
      </c>
      <c r="AJ198" s="385"/>
      <c r="AL198" s="111" t="s">
        <v>15</v>
      </c>
      <c r="AM198" s="110"/>
      <c r="AN198" s="109"/>
    </row>
    <row r="199" spans="1:41" ht="20.25" customHeight="1" thickBot="1">
      <c r="Q199" s="123">
        <v>5</v>
      </c>
      <c r="R199" s="124"/>
      <c r="S199" s="125" t="s">
        <v>6</v>
      </c>
      <c r="T199" s="126"/>
      <c r="AH199" s="106"/>
      <c r="AI199" s="106"/>
      <c r="AK199" s="127"/>
      <c r="AL199" s="127"/>
      <c r="AM199" s="127"/>
      <c r="AN199" s="27"/>
    </row>
    <row r="200" spans="1:41" ht="15.75" thickBot="1">
      <c r="AH200" s="106"/>
      <c r="AI200" s="106"/>
      <c r="AK200" s="127"/>
      <c r="AL200" s="127"/>
      <c r="AM200" s="127"/>
      <c r="AN200" s="27"/>
    </row>
    <row r="201" spans="1:41" ht="15" customHeight="1">
      <c r="B201" s="359" t="str">
        <f>$G$196</f>
        <v/>
      </c>
      <c r="C201" s="360"/>
      <c r="D201" s="361"/>
      <c r="E201" s="128"/>
      <c r="F201" s="129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1"/>
      <c r="AD201" s="130"/>
      <c r="AE201" s="130"/>
      <c r="AF201" s="130"/>
      <c r="AG201" s="130"/>
      <c r="AH201" s="130"/>
      <c r="AI201" s="130"/>
      <c r="AJ201" s="130"/>
      <c r="AK201" s="130"/>
      <c r="AL201" s="131"/>
      <c r="AM201" s="131"/>
      <c r="AN201" s="131"/>
      <c r="AO201" s="132"/>
    </row>
    <row r="202" spans="1:41" ht="15" customHeight="1" thickBot="1">
      <c r="B202" s="355" t="str">
        <f>$G$197</f>
        <v/>
      </c>
      <c r="C202" s="356"/>
      <c r="D202" s="362"/>
      <c r="E202" s="133"/>
      <c r="F202" s="134"/>
      <c r="G202" s="135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U202" s="135"/>
      <c r="V202" s="135"/>
      <c r="W202" s="135"/>
      <c r="X202" s="135"/>
      <c r="Y202" s="135"/>
      <c r="Z202" s="135"/>
      <c r="AA202" s="135"/>
      <c r="AB202" s="135"/>
      <c r="AC202" s="136"/>
      <c r="AD202" s="135"/>
      <c r="AE202" s="135"/>
      <c r="AF202" s="135"/>
      <c r="AG202" s="135"/>
      <c r="AH202" s="135"/>
      <c r="AI202" s="135"/>
      <c r="AJ202" s="135"/>
      <c r="AK202" s="135"/>
      <c r="AL202" s="137"/>
      <c r="AM202" s="137"/>
      <c r="AN202" s="137"/>
      <c r="AO202" s="138"/>
    </row>
    <row r="203" spans="1:41" ht="15" customHeight="1">
      <c r="B203" s="357" t="str">
        <f>$V$196</f>
        <v/>
      </c>
      <c r="C203" s="358"/>
      <c r="D203" s="366"/>
      <c r="E203" s="53"/>
      <c r="F203" s="7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5"/>
      <c r="AD203" s="54"/>
      <c r="AE203" s="54"/>
      <c r="AF203" s="54"/>
      <c r="AG203" s="54"/>
      <c r="AH203" s="54"/>
      <c r="AI203" s="54"/>
      <c r="AJ203" s="54"/>
      <c r="AK203" s="54"/>
      <c r="AL203" s="55"/>
      <c r="AM203" s="55"/>
      <c r="AN203" s="55"/>
      <c r="AO203" s="56"/>
    </row>
    <row r="204" spans="1:41" ht="15" customHeight="1" thickBot="1">
      <c r="B204" s="363" t="str">
        <f>$V$197</f>
        <v/>
      </c>
      <c r="C204" s="364"/>
      <c r="D204" s="365"/>
      <c r="E204" s="57"/>
      <c r="F204" s="58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60"/>
      <c r="AD204" s="59"/>
      <c r="AE204" s="59"/>
      <c r="AF204" s="59"/>
      <c r="AG204" s="59"/>
      <c r="AH204" s="59"/>
      <c r="AI204" s="59"/>
      <c r="AJ204" s="59"/>
      <c r="AK204" s="59"/>
      <c r="AL204" s="61"/>
      <c r="AM204" s="61"/>
      <c r="AN204" s="61"/>
      <c r="AO204" s="62"/>
    </row>
    <row r="205" spans="1:41" ht="6" customHeight="1" thickBot="1">
      <c r="A205" s="27"/>
      <c r="B205" s="153"/>
      <c r="C205" s="153"/>
      <c r="D205" s="153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</row>
    <row r="206" spans="1:41" ht="15" customHeight="1">
      <c r="B206" s="359" t="str">
        <f>$G$196</f>
        <v/>
      </c>
      <c r="C206" s="360"/>
      <c r="D206" s="361"/>
      <c r="E206" s="128"/>
      <c r="F206" s="140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  <c r="AH206" s="131"/>
      <c r="AI206" s="131"/>
      <c r="AJ206" s="131"/>
      <c r="AK206" s="131"/>
      <c r="AL206" s="131"/>
      <c r="AM206" s="131"/>
      <c r="AN206" s="131"/>
      <c r="AO206" s="132"/>
    </row>
    <row r="207" spans="1:41" ht="15" customHeight="1" thickBot="1">
      <c r="B207" s="355" t="str">
        <f>$G$197</f>
        <v/>
      </c>
      <c r="C207" s="356"/>
      <c r="D207" s="362"/>
      <c r="E207" s="133"/>
      <c r="F207" s="141"/>
      <c r="G207" s="136"/>
      <c r="H207" s="136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136"/>
      <c r="Y207" s="136"/>
      <c r="Z207" s="136"/>
      <c r="AA207" s="136"/>
      <c r="AB207" s="136"/>
      <c r="AC207" s="136"/>
      <c r="AD207" s="136"/>
      <c r="AE207" s="136"/>
      <c r="AF207" s="136"/>
      <c r="AG207" s="136"/>
      <c r="AH207" s="136"/>
      <c r="AI207" s="136"/>
      <c r="AJ207" s="136"/>
      <c r="AK207" s="136"/>
      <c r="AL207" s="137"/>
      <c r="AM207" s="137"/>
      <c r="AN207" s="137"/>
      <c r="AO207" s="138"/>
    </row>
    <row r="208" spans="1:41" ht="15" customHeight="1">
      <c r="B208" s="357" t="str">
        <f>$V$196</f>
        <v/>
      </c>
      <c r="C208" s="358"/>
      <c r="D208" s="366"/>
      <c r="E208" s="63"/>
      <c r="F208" s="64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  <c r="AJ208" s="55"/>
      <c r="AK208" s="55"/>
      <c r="AL208" s="55"/>
      <c r="AM208" s="55"/>
      <c r="AN208" s="55"/>
      <c r="AO208" s="56"/>
    </row>
    <row r="209" spans="1:41" ht="15" customHeight="1" thickBot="1">
      <c r="B209" s="363" t="str">
        <f>$V$197</f>
        <v/>
      </c>
      <c r="C209" s="364"/>
      <c r="D209" s="365"/>
      <c r="E209" s="65"/>
      <c r="F209" s="66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1"/>
      <c r="AM209" s="61"/>
      <c r="AN209" s="61"/>
      <c r="AO209" s="62"/>
    </row>
    <row r="210" spans="1:41" ht="6" customHeight="1" thickBot="1">
      <c r="A210" s="27"/>
      <c r="B210" s="154"/>
      <c r="C210" s="154"/>
      <c r="D210" s="154"/>
      <c r="E210" s="143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</row>
    <row r="211" spans="1:41" ht="15" customHeight="1">
      <c r="B211" s="359" t="str">
        <f>$G$196</f>
        <v/>
      </c>
      <c r="C211" s="360"/>
      <c r="D211" s="361"/>
      <c r="E211" s="142"/>
      <c r="F211" s="140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  <c r="AH211" s="131"/>
      <c r="AI211" s="131"/>
      <c r="AJ211" s="131"/>
      <c r="AK211" s="131"/>
      <c r="AL211" s="131"/>
      <c r="AM211" s="131"/>
      <c r="AN211" s="131"/>
      <c r="AO211" s="132"/>
    </row>
    <row r="212" spans="1:41" ht="15" customHeight="1" thickBot="1">
      <c r="B212" s="355" t="str">
        <f>$G$197</f>
        <v/>
      </c>
      <c r="C212" s="356"/>
      <c r="D212" s="362"/>
      <c r="E212" s="133"/>
      <c r="F212" s="141"/>
      <c r="G212" s="136"/>
      <c r="H212" s="136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136"/>
      <c r="Y212" s="136"/>
      <c r="Z212" s="136"/>
      <c r="AA212" s="136"/>
      <c r="AB212" s="136"/>
      <c r="AC212" s="136"/>
      <c r="AD212" s="136"/>
      <c r="AE212" s="136"/>
      <c r="AF212" s="136"/>
      <c r="AG212" s="136"/>
      <c r="AH212" s="136"/>
      <c r="AI212" s="136"/>
      <c r="AJ212" s="136"/>
      <c r="AK212" s="136"/>
      <c r="AL212" s="137"/>
      <c r="AM212" s="137"/>
      <c r="AN212" s="137"/>
      <c r="AO212" s="138"/>
    </row>
    <row r="213" spans="1:41" ht="15" customHeight="1">
      <c r="B213" s="357" t="str">
        <f>$V$196</f>
        <v/>
      </c>
      <c r="C213" s="358"/>
      <c r="D213" s="366"/>
      <c r="E213" s="63"/>
      <c r="F213" s="64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  <c r="AJ213" s="55"/>
      <c r="AK213" s="55"/>
      <c r="AL213" s="55"/>
      <c r="AM213" s="55"/>
      <c r="AN213" s="55"/>
      <c r="AO213" s="56"/>
    </row>
    <row r="214" spans="1:41" ht="15" customHeight="1" thickBot="1">
      <c r="B214" s="363" t="str">
        <f>$V$197</f>
        <v/>
      </c>
      <c r="C214" s="364"/>
      <c r="D214" s="365"/>
      <c r="E214" s="65"/>
      <c r="F214" s="66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1"/>
      <c r="AM214" s="61"/>
      <c r="AN214" s="61"/>
      <c r="AO214" s="62"/>
    </row>
    <row r="215" spans="1:41" ht="6" customHeight="1" thickBot="1">
      <c r="B215" s="154"/>
      <c r="C215" s="154"/>
      <c r="D215" s="154"/>
      <c r="E215" s="143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</row>
    <row r="216" spans="1:41" ht="15" customHeight="1">
      <c r="B216" s="359" t="str">
        <f>$G$196</f>
        <v/>
      </c>
      <c r="C216" s="360"/>
      <c r="D216" s="361"/>
      <c r="E216" s="142"/>
      <c r="F216" s="140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  <c r="AH216" s="131"/>
      <c r="AI216" s="131"/>
      <c r="AJ216" s="131"/>
      <c r="AK216" s="131"/>
      <c r="AL216" s="131"/>
      <c r="AM216" s="131"/>
      <c r="AN216" s="131"/>
      <c r="AO216" s="132"/>
    </row>
    <row r="217" spans="1:41" ht="15" customHeight="1" thickBot="1">
      <c r="B217" s="355" t="str">
        <f>$G$197</f>
        <v/>
      </c>
      <c r="C217" s="356"/>
      <c r="D217" s="362"/>
      <c r="E217" s="133"/>
      <c r="F217" s="141"/>
      <c r="G217" s="136"/>
      <c r="H217" s="136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136"/>
      <c r="Y217" s="136"/>
      <c r="Z217" s="136"/>
      <c r="AA217" s="136"/>
      <c r="AB217" s="136"/>
      <c r="AC217" s="136"/>
      <c r="AD217" s="136"/>
      <c r="AE217" s="136"/>
      <c r="AF217" s="136"/>
      <c r="AG217" s="136"/>
      <c r="AH217" s="136"/>
      <c r="AI217" s="136"/>
      <c r="AJ217" s="136"/>
      <c r="AK217" s="136"/>
      <c r="AL217" s="137"/>
      <c r="AM217" s="137"/>
      <c r="AN217" s="137"/>
      <c r="AO217" s="138"/>
    </row>
    <row r="218" spans="1:41" ht="15" customHeight="1">
      <c r="B218" s="357" t="str">
        <f>$V$196</f>
        <v/>
      </c>
      <c r="C218" s="358"/>
      <c r="D218" s="366"/>
      <c r="E218" s="63"/>
      <c r="F218" s="64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  <c r="AN218" s="55"/>
      <c r="AO218" s="56"/>
    </row>
    <row r="219" spans="1:41" ht="15" customHeight="1" thickBot="1">
      <c r="B219" s="363" t="str">
        <f>$V$197</f>
        <v/>
      </c>
      <c r="C219" s="364"/>
      <c r="D219" s="365"/>
      <c r="E219" s="65"/>
      <c r="F219" s="67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2"/>
    </row>
    <row r="220" spans="1:41" ht="6" customHeight="1" thickBot="1">
      <c r="B220" s="153"/>
      <c r="C220" s="153"/>
      <c r="D220" s="153"/>
      <c r="E220" s="139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</row>
    <row r="221" spans="1:41" ht="15" customHeight="1">
      <c r="B221" s="359" t="str">
        <f>$G$196</f>
        <v/>
      </c>
      <c r="C221" s="360"/>
      <c r="D221" s="361"/>
      <c r="E221" s="142"/>
      <c r="F221" s="140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  <c r="AH221" s="131"/>
      <c r="AI221" s="131"/>
      <c r="AJ221" s="131"/>
      <c r="AK221" s="131"/>
      <c r="AL221" s="131"/>
      <c r="AM221" s="131"/>
      <c r="AN221" s="131"/>
      <c r="AO221" s="132"/>
    </row>
    <row r="222" spans="1:41" ht="15" customHeight="1" thickBot="1">
      <c r="B222" s="355" t="str">
        <f>$G$197</f>
        <v/>
      </c>
      <c r="C222" s="356"/>
      <c r="D222" s="362"/>
      <c r="E222" s="133"/>
      <c r="F222" s="141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B222" s="136"/>
      <c r="AC222" s="136"/>
      <c r="AD222" s="136"/>
      <c r="AE222" s="136"/>
      <c r="AF222" s="136"/>
      <c r="AG222" s="136"/>
      <c r="AH222" s="136"/>
      <c r="AI222" s="136"/>
      <c r="AJ222" s="136"/>
      <c r="AK222" s="136"/>
      <c r="AL222" s="137"/>
      <c r="AM222" s="137"/>
      <c r="AN222" s="137"/>
      <c r="AO222" s="138"/>
    </row>
    <row r="223" spans="1:41" ht="15" customHeight="1">
      <c r="B223" s="357" t="str">
        <f>$V$196</f>
        <v/>
      </c>
      <c r="C223" s="358"/>
      <c r="D223" s="366"/>
      <c r="E223" s="63"/>
      <c r="F223" s="64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5"/>
      <c r="AM223" s="55"/>
      <c r="AN223" s="55"/>
      <c r="AO223" s="56"/>
    </row>
    <row r="224" spans="1:41" ht="15" customHeight="1" thickBot="1">
      <c r="B224" s="363" t="str">
        <f>$V$197</f>
        <v/>
      </c>
      <c r="C224" s="364"/>
      <c r="D224" s="365"/>
      <c r="E224" s="65"/>
      <c r="F224" s="67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2"/>
    </row>
    <row r="225" spans="1:41" ht="25.5" customHeight="1">
      <c r="AN225" s="27"/>
    </row>
    <row r="226" spans="1:41">
      <c r="M226" s="12" t="s">
        <v>16</v>
      </c>
      <c r="O226" s="27"/>
      <c r="Y226" s="12" t="s">
        <v>17</v>
      </c>
      <c r="AN226" s="27"/>
    </row>
    <row r="227" spans="1:41">
      <c r="O227" s="27"/>
      <c r="AN227" s="27"/>
    </row>
    <row r="228" spans="1:41">
      <c r="O228" s="27"/>
      <c r="AN228" s="27"/>
    </row>
    <row r="229" spans="1:41" ht="16.5" customHeight="1">
      <c r="A229" s="98"/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</row>
    <row r="230" spans="1:41" ht="24.75" customHeight="1">
      <c r="A230" s="98"/>
      <c r="B230" s="98"/>
      <c r="C230" s="98"/>
      <c r="D230" s="98"/>
      <c r="E230" s="98"/>
      <c r="F230" s="98"/>
      <c r="G230" s="99" t="s">
        <v>18</v>
      </c>
      <c r="H230" s="98"/>
      <c r="I230" s="98"/>
      <c r="J230" s="98"/>
      <c r="K230" s="98"/>
      <c r="L230" s="100"/>
      <c r="M230" s="98"/>
      <c r="N230" s="98"/>
      <c r="O230" s="98"/>
      <c r="P230" s="98"/>
      <c r="Q230" s="98"/>
      <c r="R230" s="98"/>
      <c r="S230" s="98"/>
      <c r="T230" s="101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</row>
    <row r="231" spans="1:41" ht="12" customHeight="1">
      <c r="A231" s="98"/>
      <c r="B231" s="102"/>
      <c r="C231" s="103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104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105"/>
      <c r="AO231" s="98"/>
    </row>
    <row r="232" spans="1:41" ht="18" customHeight="1" thickBot="1">
      <c r="A232" s="98"/>
      <c r="B232" s="102"/>
      <c r="C232" s="103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104"/>
      <c r="Q232" s="106"/>
      <c r="R232" s="109" t="s">
        <v>3</v>
      </c>
      <c r="T232" s="10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105"/>
      <c r="AO232" s="98"/>
    </row>
    <row r="233" spans="1:41" ht="16.5" thickBot="1">
      <c r="A233" s="106"/>
      <c r="B233" s="106" t="s">
        <v>2</v>
      </c>
      <c r="C233" s="184">
        <f>Spielbericht!A22</f>
        <v>0</v>
      </c>
      <c r="D233" s="106"/>
      <c r="E233" s="106"/>
      <c r="F233" s="108"/>
      <c r="G233" s="108"/>
      <c r="H233" s="108"/>
      <c r="I233" s="108"/>
      <c r="J233" s="108"/>
      <c r="K233" s="108"/>
      <c r="L233" s="108"/>
      <c r="M233" s="109"/>
      <c r="N233" s="109"/>
      <c r="O233" s="109"/>
      <c r="P233" s="109"/>
      <c r="Q233" s="113">
        <v>1</v>
      </c>
      <c r="R233" s="114"/>
      <c r="S233" s="115" t="s">
        <v>6</v>
      </c>
      <c r="T233" s="116"/>
      <c r="U233" s="108"/>
      <c r="V233" s="108"/>
      <c r="W233" s="108"/>
      <c r="X233" s="108"/>
      <c r="Y233" s="108"/>
      <c r="Z233" s="108"/>
      <c r="AA233" s="109"/>
      <c r="AB233" s="109"/>
      <c r="AC233" s="106"/>
      <c r="AD233" s="106"/>
      <c r="AE233" s="106"/>
      <c r="AF233" s="106"/>
      <c r="AH233" s="110"/>
      <c r="AI233" s="111" t="s">
        <v>4</v>
      </c>
      <c r="AJ233" s="385" t="s">
        <v>5</v>
      </c>
      <c r="AK233" s="385"/>
      <c r="AL233" s="385"/>
      <c r="AM233" s="385"/>
      <c r="AN233" s="109"/>
    </row>
    <row r="234" spans="1:41" ht="19.5" customHeight="1" thickBot="1">
      <c r="A234" s="106"/>
      <c r="B234" s="106" t="s">
        <v>85</v>
      </c>
      <c r="C234" s="145" t="str">
        <f>Spielbericht!B22</f>
        <v>2.HE</v>
      </c>
      <c r="D234" s="106"/>
      <c r="E234" s="109"/>
      <c r="F234" s="112"/>
      <c r="G234" s="382" t="str">
        <f>Spielbericht!C22</f>
        <v/>
      </c>
      <c r="H234" s="383"/>
      <c r="I234" s="383"/>
      <c r="J234" s="383"/>
      <c r="K234" s="383"/>
      <c r="L234" s="383"/>
      <c r="M234" s="383"/>
      <c r="N234" s="383"/>
      <c r="O234" s="384"/>
      <c r="P234" s="106"/>
      <c r="Q234" s="118">
        <v>2</v>
      </c>
      <c r="R234" s="119"/>
      <c r="S234" s="120" t="s">
        <v>6</v>
      </c>
      <c r="T234" s="121"/>
      <c r="U234" s="108"/>
      <c r="V234" s="373" t="str">
        <f>Spielbericht!F22</f>
        <v/>
      </c>
      <c r="W234" s="374"/>
      <c r="X234" s="374"/>
      <c r="Y234" s="374"/>
      <c r="Z234" s="374"/>
      <c r="AA234" s="374"/>
      <c r="AB234" s="374"/>
      <c r="AC234" s="374"/>
      <c r="AD234" s="375"/>
      <c r="AE234" s="117"/>
      <c r="AH234" s="110"/>
      <c r="AI234" s="111" t="s">
        <v>7</v>
      </c>
      <c r="AJ234" s="385" t="s">
        <v>5</v>
      </c>
      <c r="AK234" s="385"/>
      <c r="AL234" s="385"/>
      <c r="AM234" s="385"/>
      <c r="AN234" s="109"/>
    </row>
    <row r="235" spans="1:41" ht="19.5" customHeight="1" thickBot="1">
      <c r="A235" s="106"/>
      <c r="B235" s="106" t="s">
        <v>8</v>
      </c>
      <c r="C235" s="155"/>
      <c r="D235" s="106"/>
      <c r="E235" s="109"/>
      <c r="F235" s="108"/>
      <c r="G235" s="367"/>
      <c r="H235" s="368"/>
      <c r="I235" s="368"/>
      <c r="J235" s="368"/>
      <c r="K235" s="368"/>
      <c r="L235" s="368"/>
      <c r="M235" s="368"/>
      <c r="N235" s="368"/>
      <c r="O235" s="369"/>
      <c r="P235" s="106"/>
      <c r="Q235" s="118">
        <v>3</v>
      </c>
      <c r="R235" s="119"/>
      <c r="S235" s="120" t="s">
        <v>6</v>
      </c>
      <c r="T235" s="121"/>
      <c r="U235" s="108"/>
      <c r="V235" s="376"/>
      <c r="W235" s="377"/>
      <c r="X235" s="377"/>
      <c r="Y235" s="377"/>
      <c r="Z235" s="377"/>
      <c r="AA235" s="377"/>
      <c r="AB235" s="377"/>
      <c r="AC235" s="377"/>
      <c r="AD235" s="378"/>
      <c r="AE235" s="106"/>
      <c r="AG235" s="110" t="s">
        <v>9</v>
      </c>
      <c r="AH235" s="110"/>
      <c r="AI235" s="385" t="s">
        <v>10</v>
      </c>
      <c r="AJ235" s="385"/>
      <c r="AL235" s="111" t="s">
        <v>11</v>
      </c>
      <c r="AM235" s="110" t="s">
        <v>12</v>
      </c>
      <c r="AN235" s="109"/>
    </row>
    <row r="236" spans="1:41" ht="19.5" customHeight="1" thickBot="1">
      <c r="A236" s="106"/>
      <c r="B236" s="106" t="s">
        <v>13</v>
      </c>
      <c r="C236" s="156">
        <f>Spielbericht!W6</f>
        <v>0</v>
      </c>
      <c r="D236" s="106"/>
      <c r="E236" s="109"/>
      <c r="F236" s="108"/>
      <c r="G236" s="370" t="str">
        <f>Spielbericht!C10</f>
        <v>Heim</v>
      </c>
      <c r="H236" s="371"/>
      <c r="I236" s="371"/>
      <c r="J236" s="371"/>
      <c r="K236" s="371"/>
      <c r="L236" s="371"/>
      <c r="M236" s="371"/>
      <c r="N236" s="371"/>
      <c r="O236" s="372"/>
      <c r="P236" s="106"/>
      <c r="Q236" s="118">
        <v>4</v>
      </c>
      <c r="R236" s="119"/>
      <c r="S236" s="120" t="s">
        <v>6</v>
      </c>
      <c r="T236" s="121"/>
      <c r="U236" s="108"/>
      <c r="V236" s="379" t="str">
        <f>Spielbericht!F10</f>
        <v>Gast</v>
      </c>
      <c r="W236" s="380"/>
      <c r="X236" s="380"/>
      <c r="Y236" s="380"/>
      <c r="Z236" s="380"/>
      <c r="AA236" s="380"/>
      <c r="AB236" s="380"/>
      <c r="AC236" s="380"/>
      <c r="AD236" s="381"/>
      <c r="AE236" s="106"/>
      <c r="AG236" s="110" t="s">
        <v>14</v>
      </c>
      <c r="AH236" s="110"/>
      <c r="AI236" s="385" t="s">
        <v>10</v>
      </c>
      <c r="AJ236" s="385"/>
      <c r="AL236" s="111" t="s">
        <v>15</v>
      </c>
      <c r="AM236" s="110"/>
      <c r="AN236" s="109"/>
    </row>
    <row r="237" spans="1:41" ht="20.25" customHeight="1" thickBot="1">
      <c r="Q237" s="123">
        <v>5</v>
      </c>
      <c r="R237" s="124"/>
      <c r="S237" s="125" t="s">
        <v>6</v>
      </c>
      <c r="T237" s="126"/>
      <c r="AH237" s="106"/>
      <c r="AI237" s="106"/>
      <c r="AK237" s="127"/>
      <c r="AL237" s="127"/>
      <c r="AM237" s="127"/>
      <c r="AN237" s="27"/>
    </row>
    <row r="238" spans="1:41" ht="15.75" thickBot="1">
      <c r="AH238" s="106"/>
      <c r="AI238" s="106"/>
      <c r="AK238" s="127"/>
      <c r="AL238" s="127"/>
      <c r="AM238" s="127"/>
      <c r="AN238" s="27"/>
    </row>
    <row r="239" spans="1:41" ht="15" customHeight="1">
      <c r="B239" s="359" t="str">
        <f>G234</f>
        <v/>
      </c>
      <c r="C239" s="360"/>
      <c r="D239" s="361"/>
      <c r="E239" s="128"/>
      <c r="F239" s="129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  <c r="Y239" s="130"/>
      <c r="Z239" s="130"/>
      <c r="AA239" s="130"/>
      <c r="AB239" s="130"/>
      <c r="AC239" s="131"/>
      <c r="AD239" s="130"/>
      <c r="AE239" s="130"/>
      <c r="AF239" s="130"/>
      <c r="AG239" s="130"/>
      <c r="AH239" s="130"/>
      <c r="AI239" s="130"/>
      <c r="AJ239" s="130"/>
      <c r="AK239" s="130"/>
      <c r="AL239" s="131"/>
      <c r="AM239" s="131"/>
      <c r="AN239" s="131"/>
      <c r="AO239" s="132"/>
    </row>
    <row r="240" spans="1:41" ht="15" customHeight="1" thickBot="1">
      <c r="B240" s="355"/>
      <c r="C240" s="356"/>
      <c r="D240" s="362"/>
      <c r="E240" s="133"/>
      <c r="F240" s="134"/>
      <c r="G240" s="135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/>
      <c r="T240" s="135"/>
      <c r="U240" s="135"/>
      <c r="V240" s="135"/>
      <c r="W240" s="135"/>
      <c r="X240" s="135"/>
      <c r="Y240" s="135"/>
      <c r="Z240" s="135"/>
      <c r="AA240" s="135"/>
      <c r="AB240" s="135"/>
      <c r="AC240" s="136"/>
      <c r="AD240" s="135"/>
      <c r="AE240" s="135"/>
      <c r="AF240" s="135"/>
      <c r="AG240" s="135"/>
      <c r="AH240" s="135"/>
      <c r="AI240" s="135"/>
      <c r="AJ240" s="135"/>
      <c r="AK240" s="135"/>
      <c r="AL240" s="137"/>
      <c r="AM240" s="137"/>
      <c r="AN240" s="137"/>
      <c r="AO240" s="138"/>
    </row>
    <row r="241" spans="1:41" ht="15" customHeight="1">
      <c r="B241" s="357" t="str">
        <f>V234</f>
        <v/>
      </c>
      <c r="C241" s="358"/>
      <c r="D241" s="366"/>
      <c r="E241" s="53"/>
      <c r="F241" s="7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5"/>
      <c r="AD241" s="54"/>
      <c r="AE241" s="54"/>
      <c r="AF241" s="54"/>
      <c r="AG241" s="54"/>
      <c r="AH241" s="54"/>
      <c r="AI241" s="54"/>
      <c r="AJ241" s="54"/>
      <c r="AK241" s="54"/>
      <c r="AL241" s="55"/>
      <c r="AM241" s="55"/>
      <c r="AN241" s="55"/>
      <c r="AO241" s="56"/>
    </row>
    <row r="242" spans="1:41" ht="15" customHeight="1" thickBot="1">
      <c r="B242" s="363"/>
      <c r="C242" s="364"/>
      <c r="D242" s="365"/>
      <c r="E242" s="57"/>
      <c r="F242" s="58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60"/>
      <c r="AD242" s="59"/>
      <c r="AE242" s="59"/>
      <c r="AF242" s="59"/>
      <c r="AG242" s="59"/>
      <c r="AH242" s="59"/>
      <c r="AI242" s="59"/>
      <c r="AJ242" s="59"/>
      <c r="AK242" s="59"/>
      <c r="AL242" s="61"/>
      <c r="AM242" s="61"/>
      <c r="AN242" s="61"/>
      <c r="AO242" s="62"/>
    </row>
    <row r="243" spans="1:41" ht="6" customHeight="1" thickBot="1">
      <c r="A243" s="27"/>
      <c r="B243" s="153"/>
      <c r="C243" s="153"/>
      <c r="D243" s="153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</row>
    <row r="244" spans="1:41" ht="15" customHeight="1">
      <c r="B244" s="359" t="str">
        <f>G234</f>
        <v/>
      </c>
      <c r="C244" s="360"/>
      <c r="D244" s="361"/>
      <c r="E244" s="128"/>
      <c r="F244" s="140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  <c r="AH244" s="131"/>
      <c r="AI244" s="131"/>
      <c r="AJ244" s="131"/>
      <c r="AK244" s="131"/>
      <c r="AL244" s="131"/>
      <c r="AM244" s="131"/>
      <c r="AN244" s="131"/>
      <c r="AO244" s="132"/>
    </row>
    <row r="245" spans="1:41" ht="15" customHeight="1" thickBot="1">
      <c r="B245" s="355"/>
      <c r="C245" s="356"/>
      <c r="D245" s="362"/>
      <c r="E245" s="133"/>
      <c r="F245" s="141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36"/>
      <c r="AC245" s="136"/>
      <c r="AD245" s="136"/>
      <c r="AE245" s="136"/>
      <c r="AF245" s="136"/>
      <c r="AG245" s="136"/>
      <c r="AH245" s="136"/>
      <c r="AI245" s="136"/>
      <c r="AJ245" s="136"/>
      <c r="AK245" s="136"/>
      <c r="AL245" s="137"/>
      <c r="AM245" s="137"/>
      <c r="AN245" s="137"/>
      <c r="AO245" s="138"/>
    </row>
    <row r="246" spans="1:41" ht="15" customHeight="1">
      <c r="B246" s="357" t="str">
        <f>V234</f>
        <v/>
      </c>
      <c r="C246" s="358"/>
      <c r="D246" s="366"/>
      <c r="E246" s="63"/>
      <c r="F246" s="64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  <c r="AJ246" s="55"/>
      <c r="AK246" s="55"/>
      <c r="AL246" s="55"/>
      <c r="AM246" s="55"/>
      <c r="AN246" s="55"/>
      <c r="AO246" s="56"/>
    </row>
    <row r="247" spans="1:41" ht="15" customHeight="1" thickBot="1">
      <c r="B247" s="363"/>
      <c r="C247" s="364"/>
      <c r="D247" s="365"/>
      <c r="E247" s="65"/>
      <c r="F247" s="66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1"/>
      <c r="AM247" s="61"/>
      <c r="AN247" s="61"/>
      <c r="AO247" s="62"/>
    </row>
    <row r="248" spans="1:41" ht="6" customHeight="1" thickBot="1">
      <c r="A248" s="27"/>
      <c r="B248" s="154"/>
      <c r="C248" s="154"/>
      <c r="D248" s="154"/>
      <c r="E248" s="143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</row>
    <row r="249" spans="1:41" ht="15" customHeight="1">
      <c r="B249" s="359" t="str">
        <f>G234</f>
        <v/>
      </c>
      <c r="C249" s="360"/>
      <c r="D249" s="361"/>
      <c r="E249" s="142"/>
      <c r="F249" s="140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  <c r="AH249" s="131"/>
      <c r="AI249" s="131"/>
      <c r="AJ249" s="131"/>
      <c r="AK249" s="131"/>
      <c r="AL249" s="131"/>
      <c r="AM249" s="131"/>
      <c r="AN249" s="131"/>
      <c r="AO249" s="132"/>
    </row>
    <row r="250" spans="1:41" ht="15" customHeight="1" thickBot="1">
      <c r="B250" s="355"/>
      <c r="C250" s="356"/>
      <c r="D250" s="362"/>
      <c r="E250" s="133"/>
      <c r="F250" s="141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36"/>
      <c r="AC250" s="136"/>
      <c r="AD250" s="136"/>
      <c r="AE250" s="136"/>
      <c r="AF250" s="136"/>
      <c r="AG250" s="136"/>
      <c r="AH250" s="136"/>
      <c r="AI250" s="136"/>
      <c r="AJ250" s="136"/>
      <c r="AK250" s="136"/>
      <c r="AL250" s="137"/>
      <c r="AM250" s="137"/>
      <c r="AN250" s="137"/>
      <c r="AO250" s="138"/>
    </row>
    <row r="251" spans="1:41" ht="15" customHeight="1">
      <c r="B251" s="357" t="str">
        <f>V234</f>
        <v/>
      </c>
      <c r="C251" s="358"/>
      <c r="D251" s="366"/>
      <c r="E251" s="63"/>
      <c r="F251" s="64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6"/>
    </row>
    <row r="252" spans="1:41" ht="15" customHeight="1" thickBot="1">
      <c r="B252" s="363"/>
      <c r="C252" s="364"/>
      <c r="D252" s="365"/>
      <c r="E252" s="65"/>
      <c r="F252" s="66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1"/>
      <c r="AM252" s="61"/>
      <c r="AN252" s="61"/>
      <c r="AO252" s="62"/>
    </row>
    <row r="253" spans="1:41" ht="6" customHeight="1" thickBot="1">
      <c r="B253" s="154"/>
      <c r="C253" s="154"/>
      <c r="D253" s="154"/>
      <c r="E253" s="143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</row>
    <row r="254" spans="1:41" ht="15" customHeight="1">
      <c r="B254" s="359" t="str">
        <f>G234</f>
        <v/>
      </c>
      <c r="C254" s="360"/>
      <c r="D254" s="361"/>
      <c r="E254" s="142"/>
      <c r="F254" s="140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  <c r="AA254" s="131"/>
      <c r="AB254" s="131"/>
      <c r="AC254" s="131"/>
      <c r="AD254" s="131"/>
      <c r="AE254" s="131"/>
      <c r="AF254" s="131"/>
      <c r="AG254" s="131"/>
      <c r="AH254" s="131"/>
      <c r="AI254" s="131"/>
      <c r="AJ254" s="131"/>
      <c r="AK254" s="131"/>
      <c r="AL254" s="131"/>
      <c r="AM254" s="131"/>
      <c r="AN254" s="131"/>
      <c r="AO254" s="132"/>
    </row>
    <row r="255" spans="1:41" ht="15" customHeight="1" thickBot="1">
      <c r="B255" s="355"/>
      <c r="C255" s="356"/>
      <c r="D255" s="362"/>
      <c r="E255" s="133"/>
      <c r="F255" s="141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36"/>
      <c r="AC255" s="136"/>
      <c r="AD255" s="136"/>
      <c r="AE255" s="136"/>
      <c r="AF255" s="136"/>
      <c r="AG255" s="136"/>
      <c r="AH255" s="136"/>
      <c r="AI255" s="136"/>
      <c r="AJ255" s="136"/>
      <c r="AK255" s="136"/>
      <c r="AL255" s="137"/>
      <c r="AM255" s="137"/>
      <c r="AN255" s="137"/>
      <c r="AO255" s="138"/>
    </row>
    <row r="256" spans="1:41" ht="15" customHeight="1">
      <c r="B256" s="357" t="str">
        <f>V234</f>
        <v/>
      </c>
      <c r="C256" s="358"/>
      <c r="D256" s="366"/>
      <c r="E256" s="63"/>
      <c r="F256" s="64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6"/>
    </row>
    <row r="257" spans="2:41" ht="15" customHeight="1" thickBot="1">
      <c r="B257" s="363"/>
      <c r="C257" s="364"/>
      <c r="D257" s="365"/>
      <c r="E257" s="65"/>
      <c r="F257" s="67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  <c r="AL257" s="61"/>
      <c r="AM257" s="61"/>
      <c r="AN257" s="61"/>
      <c r="AO257" s="62"/>
    </row>
    <row r="258" spans="2:41" ht="6" customHeight="1" thickBot="1">
      <c r="B258" s="153"/>
      <c r="C258" s="153"/>
      <c r="D258" s="153"/>
      <c r="E258" s="139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</row>
    <row r="259" spans="2:41" ht="15" customHeight="1">
      <c r="B259" s="359" t="str">
        <f>G234</f>
        <v/>
      </c>
      <c r="C259" s="360"/>
      <c r="D259" s="361"/>
      <c r="E259" s="142"/>
      <c r="F259" s="140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  <c r="AA259" s="131"/>
      <c r="AB259" s="131"/>
      <c r="AC259" s="131"/>
      <c r="AD259" s="131"/>
      <c r="AE259" s="131"/>
      <c r="AF259" s="131"/>
      <c r="AG259" s="131"/>
      <c r="AH259" s="131"/>
      <c r="AI259" s="131"/>
      <c r="AJ259" s="131"/>
      <c r="AK259" s="131"/>
      <c r="AL259" s="131"/>
      <c r="AM259" s="131"/>
      <c r="AN259" s="131"/>
      <c r="AO259" s="132"/>
    </row>
    <row r="260" spans="2:41" ht="15" customHeight="1" thickBot="1">
      <c r="B260" s="355"/>
      <c r="C260" s="356"/>
      <c r="D260" s="362"/>
      <c r="E260" s="133"/>
      <c r="F260" s="141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36"/>
      <c r="AC260" s="136"/>
      <c r="AD260" s="136"/>
      <c r="AE260" s="136"/>
      <c r="AF260" s="136"/>
      <c r="AG260" s="136"/>
      <c r="AH260" s="136"/>
      <c r="AI260" s="136"/>
      <c r="AJ260" s="136"/>
      <c r="AK260" s="136"/>
      <c r="AL260" s="137"/>
      <c r="AM260" s="137"/>
      <c r="AN260" s="137"/>
      <c r="AO260" s="138"/>
    </row>
    <row r="261" spans="2:41" ht="15" customHeight="1">
      <c r="B261" s="357" t="str">
        <f>V234</f>
        <v/>
      </c>
      <c r="C261" s="358"/>
      <c r="D261" s="366"/>
      <c r="E261" s="63"/>
      <c r="F261" s="64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  <c r="AJ261" s="55"/>
      <c r="AK261" s="55"/>
      <c r="AL261" s="55"/>
      <c r="AM261" s="55"/>
      <c r="AN261" s="55"/>
      <c r="AO261" s="56"/>
    </row>
    <row r="262" spans="2:41" ht="15" customHeight="1" thickBot="1">
      <c r="B262" s="363"/>
      <c r="C262" s="364"/>
      <c r="D262" s="365"/>
      <c r="E262" s="65"/>
      <c r="F262" s="67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2"/>
    </row>
    <row r="263" spans="2:41" ht="25.5" customHeight="1">
      <c r="AN263" s="27"/>
    </row>
    <row r="264" spans="2:41">
      <c r="M264" s="12" t="s">
        <v>16</v>
      </c>
      <c r="O264" s="27"/>
      <c r="Y264" s="12" t="s">
        <v>17</v>
      </c>
      <c r="AN264" s="27"/>
    </row>
    <row r="265" spans="2:41">
      <c r="O265" s="27"/>
      <c r="AN265" s="27"/>
    </row>
    <row r="266" spans="2:41">
      <c r="O266" s="27"/>
      <c r="AN266" s="27"/>
    </row>
  </sheetData>
  <sheetProtection password="D141" sheet="1" objects="1" scenarios="1"/>
  <mergeCells count="189">
    <mergeCell ref="B262:D262"/>
    <mergeCell ref="B251:D251"/>
    <mergeCell ref="B252:D252"/>
    <mergeCell ref="B254:D254"/>
    <mergeCell ref="B255:D255"/>
    <mergeCell ref="B259:D259"/>
    <mergeCell ref="B260:D260"/>
    <mergeCell ref="B250:D250"/>
    <mergeCell ref="B245:D245"/>
    <mergeCell ref="B246:D246"/>
    <mergeCell ref="B247:D247"/>
    <mergeCell ref="B249:D249"/>
    <mergeCell ref="B261:D261"/>
    <mergeCell ref="B221:D221"/>
    <mergeCell ref="B222:D222"/>
    <mergeCell ref="B223:D223"/>
    <mergeCell ref="B224:D224"/>
    <mergeCell ref="B216:D216"/>
    <mergeCell ref="B217:D217"/>
    <mergeCell ref="B218:D218"/>
    <mergeCell ref="B219:D219"/>
    <mergeCell ref="B214:D214"/>
    <mergeCell ref="B201:D201"/>
    <mergeCell ref="B202:D202"/>
    <mergeCell ref="B203:D203"/>
    <mergeCell ref="B204:D204"/>
    <mergeCell ref="B206:D206"/>
    <mergeCell ref="B207:D207"/>
    <mergeCell ref="B209:D209"/>
    <mergeCell ref="B211:D211"/>
    <mergeCell ref="B212:D212"/>
    <mergeCell ref="G197:O197"/>
    <mergeCell ref="V197:AD197"/>
    <mergeCell ref="AI197:AJ197"/>
    <mergeCell ref="V198:AD198"/>
    <mergeCell ref="B213:D213"/>
    <mergeCell ref="G196:O196"/>
    <mergeCell ref="G198:O198"/>
    <mergeCell ref="B208:D208"/>
    <mergeCell ref="B183:D183"/>
    <mergeCell ref="B174:D174"/>
    <mergeCell ref="B175:D175"/>
    <mergeCell ref="B176:D176"/>
    <mergeCell ref="B178:D178"/>
    <mergeCell ref="AI198:AJ198"/>
    <mergeCell ref="B186:D186"/>
    <mergeCell ref="V196:AD196"/>
    <mergeCell ref="AJ196:AM196"/>
    <mergeCell ref="AJ195:AM195"/>
    <mergeCell ref="B164:D164"/>
    <mergeCell ref="B184:D184"/>
    <mergeCell ref="B185:D185"/>
    <mergeCell ref="B173:D173"/>
    <mergeCell ref="B165:D165"/>
    <mergeCell ref="B170:D170"/>
    <mergeCell ref="B171:D171"/>
    <mergeCell ref="B179:D179"/>
    <mergeCell ref="B180:D180"/>
    <mergeCell ref="B181:D181"/>
    <mergeCell ref="B52:D52"/>
    <mergeCell ref="V160:AD160"/>
    <mergeCell ref="AI160:AJ160"/>
    <mergeCell ref="B163:D163"/>
    <mergeCell ref="G160:O160"/>
    <mergeCell ref="G159:O159"/>
    <mergeCell ref="V159:AD159"/>
    <mergeCell ref="AI159:AJ159"/>
    <mergeCell ref="B54:D54"/>
    <mergeCell ref="B56:D56"/>
    <mergeCell ref="V45:AD45"/>
    <mergeCell ref="AI45:AJ45"/>
    <mergeCell ref="B34:D34"/>
    <mergeCell ref="AJ43:AM43"/>
    <mergeCell ref="G44:O44"/>
    <mergeCell ref="G46:O46"/>
    <mergeCell ref="V46:AD46"/>
    <mergeCell ref="AI46:AJ46"/>
    <mergeCell ref="B29:D29"/>
    <mergeCell ref="B31:D31"/>
    <mergeCell ref="B32:D32"/>
    <mergeCell ref="AJ157:AM157"/>
    <mergeCell ref="G158:O158"/>
    <mergeCell ref="V158:AD158"/>
    <mergeCell ref="AJ158:AM158"/>
    <mergeCell ref="V44:AD44"/>
    <mergeCell ref="AJ44:AM44"/>
    <mergeCell ref="G45:O45"/>
    <mergeCell ref="AI7:AJ7"/>
    <mergeCell ref="AI8:AJ8"/>
    <mergeCell ref="AJ5:AO5"/>
    <mergeCell ref="AJ6:AO6"/>
    <mergeCell ref="B27:D27"/>
    <mergeCell ref="B28:D28"/>
    <mergeCell ref="B169:D169"/>
    <mergeCell ref="B24:D24"/>
    <mergeCell ref="B26:D26"/>
    <mergeCell ref="V6:AD6"/>
    <mergeCell ref="V7:AD7"/>
    <mergeCell ref="V8:AD8"/>
    <mergeCell ref="B11:D11"/>
    <mergeCell ref="B12:D12"/>
    <mergeCell ref="B13:D13"/>
    <mergeCell ref="B19:D19"/>
    <mergeCell ref="G6:O6"/>
    <mergeCell ref="G7:O7"/>
    <mergeCell ref="G8:O8"/>
    <mergeCell ref="B14:D14"/>
    <mergeCell ref="B22:D22"/>
    <mergeCell ref="B23:D23"/>
    <mergeCell ref="B21:D21"/>
    <mergeCell ref="B257:D257"/>
    <mergeCell ref="B239:D239"/>
    <mergeCell ref="B240:D240"/>
    <mergeCell ref="B241:D241"/>
    <mergeCell ref="B49:D49"/>
    <mergeCell ref="B50:D50"/>
    <mergeCell ref="B51:D51"/>
    <mergeCell ref="B256:D256"/>
    <mergeCell ref="B242:D242"/>
    <mergeCell ref="B244:D244"/>
    <mergeCell ref="G236:O236"/>
    <mergeCell ref="V236:AD236"/>
    <mergeCell ref="AI236:AJ236"/>
    <mergeCell ref="B16:D16"/>
    <mergeCell ref="B17:D17"/>
    <mergeCell ref="B18:D18"/>
    <mergeCell ref="B33:D33"/>
    <mergeCell ref="B55:D55"/>
    <mergeCell ref="B166:D166"/>
    <mergeCell ref="B168:D168"/>
    <mergeCell ref="AJ233:AM233"/>
    <mergeCell ref="G234:O234"/>
    <mergeCell ref="V234:AD234"/>
    <mergeCell ref="AJ234:AM234"/>
    <mergeCell ref="G235:O235"/>
    <mergeCell ref="V235:AD235"/>
    <mergeCell ref="AI235:AJ235"/>
    <mergeCell ref="B57:D57"/>
    <mergeCell ref="B69:D69"/>
    <mergeCell ref="B70:D70"/>
    <mergeCell ref="B67:D67"/>
    <mergeCell ref="B59:D59"/>
    <mergeCell ref="B60:D60"/>
    <mergeCell ref="B61:D61"/>
    <mergeCell ref="B62:D62"/>
    <mergeCell ref="B64:D64"/>
    <mergeCell ref="B65:D65"/>
    <mergeCell ref="B66:D66"/>
    <mergeCell ref="G84:O84"/>
    <mergeCell ref="G120:O120"/>
    <mergeCell ref="B87:D87"/>
    <mergeCell ref="B88:D88"/>
    <mergeCell ref="B89:D89"/>
    <mergeCell ref="B90:D90"/>
    <mergeCell ref="B71:D71"/>
    <mergeCell ref="B72:D72"/>
    <mergeCell ref="B92:D92"/>
    <mergeCell ref="G121:O121"/>
    <mergeCell ref="G122:O122"/>
    <mergeCell ref="V82:AD82"/>
    <mergeCell ref="V83:AD83"/>
    <mergeCell ref="V84:AD84"/>
    <mergeCell ref="V120:AD120"/>
    <mergeCell ref="V121:AD121"/>
    <mergeCell ref="V122:AD122"/>
    <mergeCell ref="G82:O82"/>
    <mergeCell ref="G83:O83"/>
    <mergeCell ref="B98:D98"/>
    <mergeCell ref="B99:D99"/>
    <mergeCell ref="B100:D100"/>
    <mergeCell ref="B102:D102"/>
    <mergeCell ref="B93:D93"/>
    <mergeCell ref="B94:D94"/>
    <mergeCell ref="B95:D95"/>
    <mergeCell ref="B97:D97"/>
    <mergeCell ref="B108:D108"/>
    <mergeCell ref="B109:D109"/>
    <mergeCell ref="B110:D110"/>
    <mergeCell ref="B130:C130"/>
    <mergeCell ref="B103:D103"/>
    <mergeCell ref="B104:D104"/>
    <mergeCell ref="B105:D105"/>
    <mergeCell ref="B107:D107"/>
    <mergeCell ref="B131:C131"/>
    <mergeCell ref="B132:C132"/>
    <mergeCell ref="B125:D125"/>
    <mergeCell ref="B126:D126"/>
    <mergeCell ref="B127:C127"/>
    <mergeCell ref="B128:D128"/>
  </mergeCells>
  <phoneticPr fontId="0" type="noConversion"/>
  <pageMargins left="0.19685039370078741" right="0.19685039370078741" top="0.15748031496062992" bottom="0.11811023622047245" header="0.15748031496062992" footer="0"/>
  <pageSetup paperSize="9" orientation="landscape" horizontalDpi="4294967293" verticalDpi="4294967293" r:id="rId1"/>
  <headerFooter alignWithMargins="0"/>
  <rowBreaks count="6" manualBreakCount="6">
    <brk id="38" max="40" man="1"/>
    <brk id="76" max="16383" man="1"/>
    <brk id="114" max="16383" man="1"/>
    <brk id="152" max="16383" man="1"/>
    <brk id="190" max="16383" man="1"/>
    <brk id="228" max="16383" man="1"/>
  </rowBreaks>
  <drawing r:id="rId2"/>
  <legacyDrawing r:id="rId3"/>
  <controls>
    <mc:AlternateContent xmlns:mc="http://schemas.openxmlformats.org/markup-compatibility/2006">
      <mc:Choice Requires="x14">
        <control shapeId="2107" r:id="rId4" name="DD">
          <controlPr defaultSize="0" print="0" autoLine="0" autoPict="0" r:id="rId5">
            <anchor moveWithCells="1">
              <from>
                <xdr:col>42</xdr:col>
                <xdr:colOff>123825</xdr:colOff>
                <xdr:row>5</xdr:row>
                <xdr:rowOff>190500</xdr:rowOff>
              </from>
              <to>
                <xdr:col>44</xdr:col>
                <xdr:colOff>209550</xdr:colOff>
                <xdr:row>6</xdr:row>
                <xdr:rowOff>200025</xdr:rowOff>
              </to>
            </anchor>
          </controlPr>
        </control>
      </mc:Choice>
      <mc:Fallback>
        <control shapeId="2107" r:id="rId4" name="DD"/>
      </mc:Fallback>
    </mc:AlternateContent>
    <mc:AlternateContent xmlns:mc="http://schemas.openxmlformats.org/markup-compatibility/2006">
      <mc:Choice Requires="x14">
        <control shapeId="2106" r:id="rId6" name="DE">
          <controlPr defaultSize="0" print="0" autoLine="0" r:id="rId7">
            <anchor moveWithCells="1">
              <from>
                <xdr:col>42</xdr:col>
                <xdr:colOff>123825</xdr:colOff>
                <xdr:row>9</xdr:row>
                <xdr:rowOff>66675</xdr:rowOff>
              </from>
              <to>
                <xdr:col>44</xdr:col>
                <xdr:colOff>209550</xdr:colOff>
                <xdr:row>10</xdr:row>
                <xdr:rowOff>133350</xdr:rowOff>
              </to>
            </anchor>
          </controlPr>
        </control>
      </mc:Choice>
      <mc:Fallback>
        <control shapeId="2106" r:id="rId6" name="DE"/>
      </mc:Fallback>
    </mc:AlternateContent>
    <mc:AlternateContent xmlns:mc="http://schemas.openxmlformats.org/markup-compatibility/2006">
      <mc:Choice Requires="x14">
        <control shapeId="2105" r:id="rId8" name="XD">
          <controlPr defaultSize="0" print="0" autoLine="0" r:id="rId9">
            <anchor moveWithCells="1">
              <from>
                <xdr:col>42</xdr:col>
                <xdr:colOff>123825</xdr:colOff>
                <xdr:row>10</xdr:row>
                <xdr:rowOff>161925</xdr:rowOff>
              </from>
              <to>
                <xdr:col>44</xdr:col>
                <xdr:colOff>209550</xdr:colOff>
                <xdr:row>12</xdr:row>
                <xdr:rowOff>47625</xdr:rowOff>
              </to>
            </anchor>
          </controlPr>
        </control>
      </mc:Choice>
      <mc:Fallback>
        <control shapeId="2105" r:id="rId8" name="XD"/>
      </mc:Fallback>
    </mc:AlternateContent>
    <mc:AlternateContent xmlns:mc="http://schemas.openxmlformats.org/markup-compatibility/2006">
      <mc:Choice Requires="x14">
        <control shapeId="2104" r:id="rId10" name="HD_2">
          <controlPr defaultSize="0" print="0" autoLine="0" autoPict="0" r:id="rId11">
            <anchor moveWithCells="1">
              <from>
                <xdr:col>42</xdr:col>
                <xdr:colOff>123825</xdr:colOff>
                <xdr:row>6</xdr:row>
                <xdr:rowOff>228600</xdr:rowOff>
              </from>
              <to>
                <xdr:col>44</xdr:col>
                <xdr:colOff>209550</xdr:colOff>
                <xdr:row>8</xdr:row>
                <xdr:rowOff>0</xdr:rowOff>
              </to>
            </anchor>
          </controlPr>
        </control>
      </mc:Choice>
      <mc:Fallback>
        <control shapeId="2104" r:id="rId10" name="HD_2"/>
      </mc:Fallback>
    </mc:AlternateContent>
    <mc:AlternateContent xmlns:mc="http://schemas.openxmlformats.org/markup-compatibility/2006">
      <mc:Choice Requires="x14">
        <control shapeId="2103" r:id="rId12" name="HD_1">
          <controlPr defaultSize="0" print="0" autoLine="0" r:id="rId13">
            <anchor moveWithCells="1">
              <from>
                <xdr:col>42</xdr:col>
                <xdr:colOff>123825</xdr:colOff>
                <xdr:row>4</xdr:row>
                <xdr:rowOff>114300</xdr:rowOff>
              </from>
              <to>
                <xdr:col>44</xdr:col>
                <xdr:colOff>200025</xdr:colOff>
                <xdr:row>5</xdr:row>
                <xdr:rowOff>161925</xdr:rowOff>
              </to>
            </anchor>
          </controlPr>
        </control>
      </mc:Choice>
      <mc:Fallback>
        <control shapeId="2103" r:id="rId12" name="HD_1"/>
      </mc:Fallback>
    </mc:AlternateContent>
    <mc:AlternateContent xmlns:mc="http://schemas.openxmlformats.org/markup-compatibility/2006">
      <mc:Choice Requires="x14">
        <control shapeId="2101" r:id="rId14" name="HE_2">
          <controlPr defaultSize="0" print="0" autoLine="0" autoPict="0" r:id="rId15">
            <anchor moveWithCells="1">
              <from>
                <xdr:col>42</xdr:col>
                <xdr:colOff>123825</xdr:colOff>
                <xdr:row>12</xdr:row>
                <xdr:rowOff>76200</xdr:rowOff>
              </from>
              <to>
                <xdr:col>44</xdr:col>
                <xdr:colOff>209550</xdr:colOff>
                <xdr:row>14</xdr:row>
                <xdr:rowOff>9525</xdr:rowOff>
              </to>
            </anchor>
          </controlPr>
        </control>
      </mc:Choice>
      <mc:Fallback>
        <control shapeId="2101" r:id="rId14" name="HE_2"/>
      </mc:Fallback>
    </mc:AlternateContent>
    <mc:AlternateContent xmlns:mc="http://schemas.openxmlformats.org/markup-compatibility/2006">
      <mc:Choice Requires="x14">
        <control shapeId="2099" r:id="rId16" name="HE_1">
          <controlPr defaultSize="0" print="0" autoLine="0" autoPict="0" r:id="rId17">
            <anchor moveWithCells="1">
              <from>
                <xdr:col>42</xdr:col>
                <xdr:colOff>123825</xdr:colOff>
                <xdr:row>8</xdr:row>
                <xdr:rowOff>28575</xdr:rowOff>
              </from>
              <to>
                <xdr:col>44</xdr:col>
                <xdr:colOff>209550</xdr:colOff>
                <xdr:row>9</xdr:row>
                <xdr:rowOff>38100</xdr:rowOff>
              </to>
            </anchor>
          </controlPr>
        </control>
      </mc:Choice>
      <mc:Fallback>
        <control shapeId="2099" r:id="rId16" name="HE_1"/>
      </mc:Fallback>
    </mc:AlternateContent>
    <mc:AlternateContent xmlns:mc="http://schemas.openxmlformats.org/markup-compatibility/2006">
      <mc:Choice Requires="x14">
        <control shapeId="2097" r:id="rId18" name="drucken">
          <controlPr defaultSize="0" print="0" autoLine="0" autoPict="0" r:id="rId19">
            <anchor moveWithCells="1">
              <from>
                <xdr:col>40</xdr:col>
                <xdr:colOff>0</xdr:colOff>
                <xdr:row>1</xdr:row>
                <xdr:rowOff>200025</xdr:rowOff>
              </from>
              <to>
                <xdr:col>44</xdr:col>
                <xdr:colOff>180975</xdr:colOff>
                <xdr:row>3</xdr:row>
                <xdr:rowOff>200025</xdr:rowOff>
              </to>
            </anchor>
          </controlPr>
        </control>
      </mc:Choice>
      <mc:Fallback>
        <control shapeId="2097" r:id="rId18" name="druck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O37"/>
  <sheetViews>
    <sheetView showZeros="0" zoomScale="75" workbookViewId="0">
      <selection activeCell="AF1" sqref="AF1"/>
    </sheetView>
  </sheetViews>
  <sheetFormatPr baseColWidth="10" defaultColWidth="9.140625" defaultRowHeight="12.75"/>
  <cols>
    <col min="1" max="1" width="2.140625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16384" width="9.140625" style="12"/>
  </cols>
  <sheetData>
    <row r="1" spans="1:41" s="98" customFormat="1" ht="16.5" customHeight="1"/>
    <row r="2" spans="1:41" s="98" customFormat="1" ht="24.75" customHeight="1">
      <c r="G2" s="99" t="s">
        <v>18</v>
      </c>
      <c r="L2" s="100"/>
      <c r="T2" s="101"/>
    </row>
    <row r="3" spans="1:41" s="98" customFormat="1" ht="12" customHeight="1">
      <c r="B3" s="102"/>
      <c r="C3" s="103"/>
      <c r="P3" s="104"/>
      <c r="AN3" s="105"/>
    </row>
    <row r="4" spans="1:41" s="98" customFormat="1" ht="20.25" customHeight="1" thickBot="1">
      <c r="B4" s="102"/>
      <c r="C4" s="103"/>
      <c r="P4" s="104"/>
      <c r="Q4" s="106"/>
      <c r="R4" s="109" t="s">
        <v>3</v>
      </c>
      <c r="S4" s="12"/>
      <c r="T4" s="108"/>
      <c r="AN4" s="105"/>
    </row>
    <row r="5" spans="1:41" ht="19.5" customHeight="1" thickBot="1">
      <c r="A5" s="106"/>
      <c r="B5" s="106" t="s">
        <v>2</v>
      </c>
      <c r="C5" s="107" t="s">
        <v>83</v>
      </c>
      <c r="D5" s="106"/>
      <c r="E5" s="106"/>
      <c r="F5" s="108"/>
      <c r="G5" s="108"/>
      <c r="H5" s="108"/>
      <c r="I5" s="108"/>
      <c r="J5" s="108"/>
      <c r="K5" s="108"/>
      <c r="L5" s="108"/>
      <c r="M5" s="109"/>
      <c r="N5" s="109"/>
      <c r="O5" s="109"/>
      <c r="P5" s="109"/>
      <c r="Q5" s="113">
        <v>1</v>
      </c>
      <c r="R5" s="114"/>
      <c r="S5" s="115" t="s">
        <v>6</v>
      </c>
      <c r="T5" s="116"/>
      <c r="U5" s="108"/>
      <c r="V5" s="108"/>
      <c r="W5" s="108"/>
      <c r="X5" s="108"/>
      <c r="Y5" s="108"/>
      <c r="Z5" s="108"/>
      <c r="AA5" s="109"/>
      <c r="AB5" s="109"/>
      <c r="AC5" s="106"/>
      <c r="AD5" s="106"/>
      <c r="AE5" s="106"/>
      <c r="AF5" s="106"/>
      <c r="AH5" s="110"/>
      <c r="AI5" s="111" t="s">
        <v>4</v>
      </c>
      <c r="AJ5" s="385" t="s">
        <v>5</v>
      </c>
      <c r="AK5" s="385"/>
      <c r="AL5" s="385"/>
      <c r="AM5" s="385"/>
      <c r="AN5" s="109"/>
    </row>
    <row r="6" spans="1:41" ht="19.5" customHeight="1" thickBot="1">
      <c r="A6" s="106"/>
      <c r="B6" s="106" t="s">
        <v>85</v>
      </c>
      <c r="C6" s="107" t="s">
        <v>84</v>
      </c>
      <c r="D6" s="106"/>
      <c r="E6" s="109"/>
      <c r="F6" s="112"/>
      <c r="G6" s="408"/>
      <c r="H6" s="409"/>
      <c r="I6" s="409"/>
      <c r="J6" s="409"/>
      <c r="K6" s="409"/>
      <c r="L6" s="409"/>
      <c r="M6" s="409"/>
      <c r="N6" s="409"/>
      <c r="O6" s="410"/>
      <c r="P6" s="106"/>
      <c r="Q6" s="118">
        <v>2</v>
      </c>
      <c r="R6" s="119"/>
      <c r="S6" s="120" t="s">
        <v>6</v>
      </c>
      <c r="T6" s="121"/>
      <c r="U6" s="108"/>
      <c r="V6" s="414"/>
      <c r="W6" s="415"/>
      <c r="X6" s="415"/>
      <c r="Y6" s="415"/>
      <c r="Z6" s="415"/>
      <c r="AA6" s="415"/>
      <c r="AB6" s="415"/>
      <c r="AC6" s="415"/>
      <c r="AD6" s="416"/>
      <c r="AE6" s="117"/>
      <c r="AH6" s="110"/>
      <c r="AI6" s="111" t="s">
        <v>7</v>
      </c>
      <c r="AJ6" s="385" t="s">
        <v>5</v>
      </c>
      <c r="AK6" s="385"/>
      <c r="AL6" s="385"/>
      <c r="AM6" s="385"/>
      <c r="AN6" s="109"/>
    </row>
    <row r="7" spans="1:41" ht="19.5" customHeight="1" thickBot="1">
      <c r="A7" s="106"/>
      <c r="B7" s="106" t="s">
        <v>8</v>
      </c>
      <c r="C7" s="107" t="s">
        <v>84</v>
      </c>
      <c r="D7" s="106"/>
      <c r="E7" s="109"/>
      <c r="F7" s="108"/>
      <c r="G7" s="411"/>
      <c r="H7" s="412"/>
      <c r="I7" s="412"/>
      <c r="J7" s="412"/>
      <c r="K7" s="412"/>
      <c r="L7" s="412"/>
      <c r="M7" s="412"/>
      <c r="N7" s="412"/>
      <c r="O7" s="413"/>
      <c r="P7" s="106"/>
      <c r="Q7" s="118">
        <v>3</v>
      </c>
      <c r="R7" s="119"/>
      <c r="S7" s="120" t="s">
        <v>6</v>
      </c>
      <c r="T7" s="121"/>
      <c r="U7" s="108"/>
      <c r="V7" s="417"/>
      <c r="W7" s="418"/>
      <c r="X7" s="418"/>
      <c r="Y7" s="418"/>
      <c r="Z7" s="418"/>
      <c r="AA7" s="418"/>
      <c r="AB7" s="418"/>
      <c r="AC7" s="418"/>
      <c r="AD7" s="419"/>
      <c r="AE7" s="106"/>
      <c r="AG7" s="110" t="s">
        <v>9</v>
      </c>
      <c r="AH7" s="110"/>
      <c r="AI7" s="385" t="s">
        <v>10</v>
      </c>
      <c r="AJ7" s="385"/>
      <c r="AL7" s="111" t="s">
        <v>11</v>
      </c>
      <c r="AM7" s="110" t="s">
        <v>12</v>
      </c>
      <c r="AN7" s="109"/>
    </row>
    <row r="8" spans="1:41" ht="19.5" customHeight="1" thickBot="1">
      <c r="A8" s="106"/>
      <c r="B8" s="106" t="s">
        <v>13</v>
      </c>
      <c r="C8" s="122">
        <f>Spielbericht!W6</f>
        <v>0</v>
      </c>
      <c r="D8" s="106"/>
      <c r="E8" s="109"/>
      <c r="F8" s="108"/>
      <c r="G8" s="393" t="str">
        <f>Spielbericht!C10</f>
        <v>Heim</v>
      </c>
      <c r="H8" s="394"/>
      <c r="I8" s="394"/>
      <c r="J8" s="394"/>
      <c r="K8" s="394"/>
      <c r="L8" s="394"/>
      <c r="M8" s="394"/>
      <c r="N8" s="394"/>
      <c r="O8" s="395"/>
      <c r="P8" s="106"/>
      <c r="Q8" s="118">
        <v>4</v>
      </c>
      <c r="R8" s="119"/>
      <c r="S8" s="120" t="s">
        <v>6</v>
      </c>
      <c r="T8" s="121"/>
      <c r="U8" s="108"/>
      <c r="V8" s="389" t="str">
        <f>Spielbericht!F10</f>
        <v>Gast</v>
      </c>
      <c r="W8" s="390"/>
      <c r="X8" s="390"/>
      <c r="Y8" s="390"/>
      <c r="Z8" s="390"/>
      <c r="AA8" s="390"/>
      <c r="AB8" s="390"/>
      <c r="AC8" s="390"/>
      <c r="AD8" s="391"/>
      <c r="AE8" s="106"/>
      <c r="AG8" s="110" t="s">
        <v>14</v>
      </c>
      <c r="AH8" s="110"/>
      <c r="AI8" s="385" t="s">
        <v>10</v>
      </c>
      <c r="AJ8" s="385"/>
      <c r="AL8" s="111" t="s">
        <v>15</v>
      </c>
      <c r="AM8" s="110"/>
      <c r="AN8" s="109"/>
    </row>
    <row r="9" spans="1:41" ht="20.25" customHeight="1" thickBot="1">
      <c r="Q9" s="123">
        <v>5</v>
      </c>
      <c r="R9" s="124"/>
      <c r="S9" s="125" t="s">
        <v>6</v>
      </c>
      <c r="T9" s="126"/>
      <c r="AH9" s="106"/>
      <c r="AI9" s="106"/>
      <c r="AK9" s="127"/>
      <c r="AL9" s="127"/>
      <c r="AM9" s="127"/>
      <c r="AN9" s="27"/>
    </row>
    <row r="10" spans="1:41" ht="15.75" thickBot="1">
      <c r="AH10" s="106"/>
      <c r="AI10" s="106"/>
      <c r="AK10" s="127"/>
      <c r="AL10" s="127"/>
      <c r="AM10" s="127"/>
      <c r="AN10" s="27"/>
    </row>
    <row r="11" spans="1:41" ht="15" customHeight="1">
      <c r="B11" s="396">
        <f>G$6</f>
        <v>0</v>
      </c>
      <c r="C11" s="397"/>
      <c r="D11" s="398"/>
      <c r="E11" s="128"/>
      <c r="F11" s="129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1"/>
      <c r="AD11" s="130"/>
      <c r="AE11" s="130"/>
      <c r="AF11" s="130"/>
      <c r="AG11" s="130"/>
      <c r="AH11" s="130"/>
      <c r="AI11" s="130"/>
      <c r="AJ11" s="130"/>
      <c r="AK11" s="130"/>
      <c r="AL11" s="131"/>
      <c r="AM11" s="131"/>
      <c r="AN11" s="131"/>
      <c r="AO11" s="132"/>
    </row>
    <row r="12" spans="1:41" ht="15" customHeight="1" thickBot="1">
      <c r="B12" s="399">
        <f>G$7</f>
        <v>0</v>
      </c>
      <c r="C12" s="400"/>
      <c r="D12" s="401"/>
      <c r="E12" s="133"/>
      <c r="F12" s="134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6"/>
      <c r="AD12" s="135"/>
      <c r="AE12" s="135"/>
      <c r="AF12" s="135"/>
      <c r="AG12" s="135"/>
      <c r="AH12" s="135"/>
      <c r="AI12" s="135"/>
      <c r="AJ12" s="135"/>
      <c r="AK12" s="135"/>
      <c r="AL12" s="137"/>
      <c r="AM12" s="137"/>
      <c r="AN12" s="137"/>
      <c r="AO12" s="138"/>
    </row>
    <row r="13" spans="1:41" ht="15" customHeight="1">
      <c r="B13" s="402">
        <f>V$6</f>
        <v>0</v>
      </c>
      <c r="C13" s="403"/>
      <c r="D13" s="404"/>
      <c r="E13" s="53"/>
      <c r="F13" s="7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5"/>
      <c r="AD13" s="54"/>
      <c r="AE13" s="54"/>
      <c r="AF13" s="54"/>
      <c r="AG13" s="54"/>
      <c r="AH13" s="54"/>
      <c r="AI13" s="54"/>
      <c r="AJ13" s="54"/>
      <c r="AK13" s="54"/>
      <c r="AL13" s="55"/>
      <c r="AM13" s="55"/>
      <c r="AN13" s="55"/>
      <c r="AO13" s="56"/>
    </row>
    <row r="14" spans="1:41" ht="15" customHeight="1" thickBot="1">
      <c r="B14" s="405">
        <f>V$7</f>
        <v>0</v>
      </c>
      <c r="C14" s="406"/>
      <c r="D14" s="407"/>
      <c r="E14" s="57"/>
      <c r="F14" s="58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60"/>
      <c r="AD14" s="59"/>
      <c r="AE14" s="59"/>
      <c r="AF14" s="59"/>
      <c r="AG14" s="59"/>
      <c r="AH14" s="59"/>
      <c r="AI14" s="59"/>
      <c r="AJ14" s="59"/>
      <c r="AK14" s="59"/>
      <c r="AL14" s="61"/>
      <c r="AM14" s="61"/>
      <c r="AN14" s="61"/>
      <c r="AO14" s="62"/>
    </row>
    <row r="15" spans="1:41" ht="6" customHeight="1" thickBot="1">
      <c r="A15" s="27"/>
      <c r="B15" s="139"/>
      <c r="C15" s="139"/>
      <c r="D15" s="139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396">
        <f>G$6</f>
        <v>0</v>
      </c>
      <c r="C16" s="397"/>
      <c r="D16" s="398"/>
      <c r="E16" s="128"/>
      <c r="F16" s="140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2"/>
    </row>
    <row r="17" spans="1:41" ht="15" customHeight="1" thickBot="1">
      <c r="B17" s="399">
        <f>G$7</f>
        <v>0</v>
      </c>
      <c r="C17" s="400"/>
      <c r="D17" s="401"/>
      <c r="E17" s="133"/>
      <c r="F17" s="141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7"/>
      <c r="AM17" s="137"/>
      <c r="AN17" s="137"/>
      <c r="AO17" s="138"/>
    </row>
    <row r="18" spans="1:41" ht="15" customHeight="1">
      <c r="B18" s="402">
        <f>V$6</f>
        <v>0</v>
      </c>
      <c r="C18" s="403"/>
      <c r="D18" s="404"/>
      <c r="E18" s="63"/>
      <c r="F18" s="64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6"/>
    </row>
    <row r="19" spans="1:41" ht="15" customHeight="1" thickBot="1">
      <c r="B19" s="405">
        <f>V$7</f>
        <v>0</v>
      </c>
      <c r="C19" s="406"/>
      <c r="D19" s="407"/>
      <c r="E19" s="65"/>
      <c r="F19" s="66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1"/>
      <c r="AM19" s="61"/>
      <c r="AN19" s="61"/>
      <c r="AO19" s="62"/>
    </row>
    <row r="20" spans="1:41" ht="6" customHeight="1" thickBot="1">
      <c r="A20" s="27"/>
      <c r="B20" s="143"/>
      <c r="C20" s="143"/>
      <c r="D20" s="143"/>
      <c r="E20" s="14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1" ht="15" customHeight="1">
      <c r="B21" s="396">
        <f>G$6</f>
        <v>0</v>
      </c>
      <c r="C21" s="397"/>
      <c r="D21" s="398"/>
      <c r="E21" s="142"/>
      <c r="F21" s="140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2"/>
    </row>
    <row r="22" spans="1:41" ht="15" customHeight="1" thickBot="1">
      <c r="B22" s="399">
        <f>G$7</f>
        <v>0</v>
      </c>
      <c r="C22" s="400"/>
      <c r="D22" s="401"/>
      <c r="E22" s="133"/>
      <c r="F22" s="141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7"/>
      <c r="AM22" s="137"/>
      <c r="AN22" s="137"/>
      <c r="AO22" s="138"/>
    </row>
    <row r="23" spans="1:41" ht="15" customHeight="1">
      <c r="B23" s="402">
        <f>V$6</f>
        <v>0</v>
      </c>
      <c r="C23" s="403"/>
      <c r="D23" s="404"/>
      <c r="E23" s="63"/>
      <c r="F23" s="64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6"/>
    </row>
    <row r="24" spans="1:41" ht="15" customHeight="1" thickBot="1">
      <c r="B24" s="405">
        <f>V$7</f>
        <v>0</v>
      </c>
      <c r="C24" s="406"/>
      <c r="D24" s="407"/>
      <c r="E24" s="65"/>
      <c r="F24" s="66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1"/>
      <c r="AM24" s="61"/>
      <c r="AN24" s="61"/>
      <c r="AO24" s="62"/>
    </row>
    <row r="25" spans="1:41" ht="6" customHeight="1" thickBot="1">
      <c r="B25" s="143"/>
      <c r="C25" s="143"/>
      <c r="D25" s="143"/>
      <c r="E25" s="14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1" ht="15" customHeight="1">
      <c r="B26" s="396">
        <f>G$6</f>
        <v>0</v>
      </c>
      <c r="C26" s="397"/>
      <c r="D26" s="398"/>
      <c r="E26" s="142"/>
      <c r="F26" s="140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2"/>
    </row>
    <row r="27" spans="1:41" ht="15" customHeight="1" thickBot="1">
      <c r="B27" s="399">
        <f>G$7</f>
        <v>0</v>
      </c>
      <c r="C27" s="400"/>
      <c r="D27" s="401"/>
      <c r="E27" s="133"/>
      <c r="F27" s="141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7"/>
      <c r="AM27" s="137"/>
      <c r="AN27" s="137"/>
      <c r="AO27" s="138"/>
    </row>
    <row r="28" spans="1:41" ht="15" customHeight="1">
      <c r="B28" s="402">
        <f>V$6</f>
        <v>0</v>
      </c>
      <c r="C28" s="403"/>
      <c r="D28" s="404"/>
      <c r="E28" s="63"/>
      <c r="F28" s="64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6"/>
    </row>
    <row r="29" spans="1:41" ht="15" customHeight="1" thickBot="1">
      <c r="B29" s="405">
        <f>V$7</f>
        <v>0</v>
      </c>
      <c r="C29" s="406"/>
      <c r="D29" s="407"/>
      <c r="E29" s="65"/>
      <c r="F29" s="67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2"/>
    </row>
    <row r="30" spans="1:41" ht="6" customHeight="1" thickBot="1">
      <c r="B30" s="139"/>
      <c r="C30" s="139"/>
      <c r="D30" s="139"/>
      <c r="E30" s="13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1" ht="15" customHeight="1">
      <c r="B31" s="396">
        <f>G$6</f>
        <v>0</v>
      </c>
      <c r="C31" s="397"/>
      <c r="D31" s="398"/>
      <c r="E31" s="142"/>
      <c r="F31" s="140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2"/>
    </row>
    <row r="32" spans="1:41" ht="15" customHeight="1" thickBot="1">
      <c r="B32" s="399">
        <f>G$7</f>
        <v>0</v>
      </c>
      <c r="C32" s="400"/>
      <c r="D32" s="401"/>
      <c r="E32" s="133"/>
      <c r="F32" s="141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7"/>
      <c r="AM32" s="137"/>
      <c r="AN32" s="137"/>
      <c r="AO32" s="138"/>
    </row>
    <row r="33" spans="2:41" ht="15" customHeight="1">
      <c r="B33" s="402">
        <f>V$6</f>
        <v>0</v>
      </c>
      <c r="C33" s="403"/>
      <c r="D33" s="404"/>
      <c r="E33" s="63"/>
      <c r="F33" s="64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6"/>
    </row>
    <row r="34" spans="2:41" ht="15" customHeight="1" thickBot="1">
      <c r="B34" s="405">
        <f>V$7</f>
        <v>0</v>
      </c>
      <c r="C34" s="406"/>
      <c r="D34" s="407"/>
      <c r="E34" s="65"/>
      <c r="F34" s="67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2"/>
    </row>
    <row r="35" spans="2:41" ht="25.5" customHeight="1">
      <c r="AN35" s="27"/>
    </row>
    <row r="36" spans="2:41">
      <c r="M36" s="12" t="s">
        <v>16</v>
      </c>
      <c r="O36" s="27"/>
      <c r="Y36" s="12" t="s">
        <v>17</v>
      </c>
      <c r="AN36" s="27"/>
    </row>
    <row r="37" spans="2:41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</row>
  </sheetData>
  <sheetProtection password="D141" sheet="1" objects="1" scenarios="1"/>
  <mergeCells count="30">
    <mergeCell ref="V6:AD6"/>
    <mergeCell ref="V7:AD7"/>
    <mergeCell ref="V8:AD8"/>
    <mergeCell ref="B11:D11"/>
    <mergeCell ref="B31:D31"/>
    <mergeCell ref="B32:D32"/>
    <mergeCell ref="B33:D33"/>
    <mergeCell ref="B34:D34"/>
    <mergeCell ref="B13:D13"/>
    <mergeCell ref="B14:D14"/>
    <mergeCell ref="B28:D28"/>
    <mergeCell ref="B29:D29"/>
    <mergeCell ref="B16:D16"/>
    <mergeCell ref="B17:D17"/>
    <mergeCell ref="B18:D18"/>
    <mergeCell ref="B19:D19"/>
    <mergeCell ref="B21:D21"/>
    <mergeCell ref="B22:D22"/>
    <mergeCell ref="B23:D23"/>
    <mergeCell ref="B24:D24"/>
    <mergeCell ref="AJ5:AM5"/>
    <mergeCell ref="AI7:AJ7"/>
    <mergeCell ref="AI8:AJ8"/>
    <mergeCell ref="AJ6:AM6"/>
    <mergeCell ref="B26:D26"/>
    <mergeCell ref="B27:D27"/>
    <mergeCell ref="G6:O6"/>
    <mergeCell ref="G7:O7"/>
    <mergeCell ref="G8:O8"/>
    <mergeCell ref="B12:D12"/>
  </mergeCells>
  <phoneticPr fontId="0" type="noConversion"/>
  <pageMargins left="0.11811023622047245" right="0.19685039370078741" top="0.16" bottom="0.11811023622047245" header="0.15748031496062992" footer="0"/>
  <pageSetup paperSize="9" orientation="landscape" horizontalDpi="4294967293" vertic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Hinweise</vt:lpstr>
      <vt:lpstr>Aufstellung Heim</vt:lpstr>
      <vt:lpstr>Aufstellung Gast</vt:lpstr>
      <vt:lpstr>Spielfolge berechnen</vt:lpstr>
      <vt:lpstr>Spielbericht</vt:lpstr>
      <vt:lpstr>Schiedsrichter-Zettel</vt:lpstr>
      <vt:lpstr>SR Zettel (Vorlage)</vt:lpstr>
      <vt:lpstr>'Schiedsrichter-Zettel'!Druckbereich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Länderspiel - 7 Spiele</dc:title>
  <dc:creator>Carsten Koch</dc:creator>
  <cp:lastModifiedBy>phihag</cp:lastModifiedBy>
  <cp:lastPrinted>2016-08-08T16:51:59Z</cp:lastPrinted>
  <dcterms:created xsi:type="dcterms:W3CDTF">2002-06-05T14:35:54Z</dcterms:created>
  <dcterms:modified xsi:type="dcterms:W3CDTF">2016-08-22T20:34:58Z</dcterms:modified>
</cp:coreProperties>
</file>