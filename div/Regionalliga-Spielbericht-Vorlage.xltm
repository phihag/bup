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DieseArbeitsmappe" defaultThemeVersion="124226"/>
  <bookViews>
    <workbookView xWindow="240" yWindow="105" windowWidth="14805" windowHeight="8010" tabRatio="643" firstSheet="3" activeTab="3"/>
  </bookViews>
  <sheets>
    <sheet name="Schiedsrichter" sheetId="4" state="hidden" r:id="rId1"/>
    <sheet name="Versionshistory" sheetId="13" state="hidden" r:id="rId2"/>
    <sheet name="Ranglisten" sheetId="6" state="hidden" r:id="rId3"/>
    <sheet name="Grundeinstellungen" sheetId="1" r:id="rId4"/>
    <sheet name="Fahrplan" sheetId="7" r:id="rId5"/>
    <sheet name="Mindestanforderungen" sheetId="8" r:id="rId6"/>
    <sheet name="Quittungen" sheetId="12" r:id="rId7"/>
    <sheet name="Mannschaftsaufstellung" sheetId="5" r:id="rId8"/>
    <sheet name="Spielbericht" sheetId="9" r:id="rId9"/>
    <sheet name="Schiedsrichterzettel" sheetId="10" r:id="rId10"/>
    <sheet name="Schiedsrichterzettel-Lehrvorlag" sheetId="11" r:id="rId11"/>
  </sheets>
  <definedNames>
    <definedName name="_xlnm.Print_Area" localSheetId="7">Mannschaftsaufstellung!$A$1:$X$66</definedName>
    <definedName name="_xlnm.Print_Area" localSheetId="5">Mindestanforderungen!$A$1:$H$50</definedName>
    <definedName name="_xlnm.Print_Area" localSheetId="9">Schiedsrichterzettel!$A$1:$AW$320</definedName>
    <definedName name="_xlnm.Print_Area" localSheetId="10">'Schiedsrichterzettel-Lehrvorlag'!$A$1:$AW$40</definedName>
    <definedName name="_xlnm.Print_Area" localSheetId="8">Spielbericht!$A$1:$CV$44</definedName>
  </definedNames>
  <calcPr calcId="145621"/>
</workbook>
</file>

<file path=xl/calcChain.xml><?xml version="1.0" encoding="utf-8"?>
<calcChain xmlns="http://schemas.openxmlformats.org/spreadsheetml/2006/main">
  <c r="DX38" i="9" l="1"/>
  <c r="DX39" i="9"/>
  <c r="DX40" i="9"/>
  <c r="DX37" i="9"/>
  <c r="DW39" i="9"/>
  <c r="DW40" i="9"/>
  <c r="DW38" i="9"/>
  <c r="DW37" i="9"/>
  <c r="B63" i="5"/>
  <c r="W39" i="5" l="1"/>
  <c r="W40" i="5"/>
  <c r="W42" i="5"/>
  <c r="W43" i="5"/>
  <c r="W44" i="5"/>
  <c r="W45" i="5"/>
  <c r="W46" i="5"/>
  <c r="W47" i="5"/>
  <c r="W48" i="5"/>
  <c r="W49" i="5"/>
  <c r="W50" i="5"/>
  <c r="W51" i="5"/>
  <c r="W52" i="5"/>
  <c r="W53" i="5"/>
  <c r="W54" i="5"/>
  <c r="W55" i="5"/>
  <c r="W56" i="5"/>
  <c r="W57" i="5"/>
  <c r="W58" i="5"/>
  <c r="W59" i="5"/>
  <c r="W60" i="5"/>
  <c r="W61" i="5"/>
  <c r="AJ39" i="5"/>
  <c r="AO39" i="5" s="1"/>
  <c r="AK39" i="5"/>
  <c r="AL39" i="5"/>
  <c r="AM39" i="5"/>
  <c r="AN39" i="5" s="1"/>
  <c r="AP39" i="5" s="1"/>
  <c r="AQ39" i="5" s="1"/>
  <c r="AJ40" i="5"/>
  <c r="AO40" i="5" s="1"/>
  <c r="AK40" i="5"/>
  <c r="AL40" i="5"/>
  <c r="AM40" i="5"/>
  <c r="AN40" i="5" s="1"/>
  <c r="AP40" i="5" s="1"/>
  <c r="AQ40" i="5" s="1"/>
  <c r="AJ41" i="5"/>
  <c r="AO41" i="5" s="1"/>
  <c r="AK41" i="5"/>
  <c r="AL41" i="5"/>
  <c r="AM41" i="5"/>
  <c r="AN41" i="5" s="1"/>
  <c r="AP41" i="5" s="1"/>
  <c r="AJ42" i="5"/>
  <c r="AO42" i="5" s="1"/>
  <c r="AK42" i="5"/>
  <c r="AL42" i="5"/>
  <c r="AM42" i="5"/>
  <c r="AN42" i="5" s="1"/>
  <c r="AP42" i="5" s="1"/>
  <c r="AQ42" i="5" s="1"/>
  <c r="AJ43" i="5"/>
  <c r="AO43" i="5" s="1"/>
  <c r="AK43" i="5"/>
  <c r="AL43" i="5"/>
  <c r="AM43" i="5"/>
  <c r="AN43" i="5" s="1"/>
  <c r="AP43" i="5" s="1"/>
  <c r="AQ43" i="5" s="1"/>
  <c r="AJ44" i="5"/>
  <c r="AO44" i="5" s="1"/>
  <c r="AK44" i="5"/>
  <c r="AL44" i="5"/>
  <c r="AM44" i="5"/>
  <c r="AN44" i="5" s="1"/>
  <c r="AP44" i="5" s="1"/>
  <c r="AQ44" i="5" s="1"/>
  <c r="AJ45" i="5"/>
  <c r="AO45" i="5" s="1"/>
  <c r="AK45" i="5"/>
  <c r="AL45" i="5"/>
  <c r="AM45" i="5"/>
  <c r="AN45" i="5" s="1"/>
  <c r="AP45" i="5" s="1"/>
  <c r="AQ45" i="5" s="1"/>
  <c r="AJ46" i="5"/>
  <c r="AO46" i="5" s="1"/>
  <c r="AK46" i="5"/>
  <c r="AL46" i="5"/>
  <c r="AM46" i="5"/>
  <c r="AN46" i="5" s="1"/>
  <c r="AP46" i="5" s="1"/>
  <c r="AQ46" i="5" s="1"/>
  <c r="AJ47" i="5"/>
  <c r="AO47" i="5" s="1"/>
  <c r="AK47" i="5"/>
  <c r="AL47" i="5"/>
  <c r="AM47" i="5"/>
  <c r="AN47" i="5" s="1"/>
  <c r="AP47" i="5" s="1"/>
  <c r="AQ47" i="5" s="1"/>
  <c r="AJ48" i="5"/>
  <c r="AO48" i="5" s="1"/>
  <c r="AK48" i="5"/>
  <c r="AL48" i="5"/>
  <c r="AM48" i="5"/>
  <c r="AN48" i="5" s="1"/>
  <c r="AP48" i="5" s="1"/>
  <c r="AQ48" i="5" s="1"/>
  <c r="AJ49" i="5"/>
  <c r="AO49" i="5" s="1"/>
  <c r="AK49" i="5"/>
  <c r="AL49" i="5"/>
  <c r="AM49" i="5"/>
  <c r="AN49" i="5" s="1"/>
  <c r="AP49" i="5" s="1"/>
  <c r="AQ49" i="5" s="1"/>
  <c r="AJ50" i="5"/>
  <c r="AO50" i="5" s="1"/>
  <c r="AK50" i="5"/>
  <c r="AL50" i="5"/>
  <c r="AM50" i="5"/>
  <c r="AN50" i="5" s="1"/>
  <c r="AP50" i="5" s="1"/>
  <c r="AQ50" i="5" s="1"/>
  <c r="AJ51" i="5"/>
  <c r="AO51" i="5" s="1"/>
  <c r="AK51" i="5"/>
  <c r="AL51" i="5"/>
  <c r="AM51" i="5"/>
  <c r="AN51" i="5" s="1"/>
  <c r="AP51" i="5" s="1"/>
  <c r="AQ51" i="5" s="1"/>
  <c r="AJ52" i="5"/>
  <c r="AO52" i="5" s="1"/>
  <c r="AK52" i="5"/>
  <c r="AL52" i="5"/>
  <c r="AM52" i="5"/>
  <c r="AN52" i="5" s="1"/>
  <c r="AP52" i="5" s="1"/>
  <c r="AQ52" i="5" s="1"/>
  <c r="AJ53" i="5"/>
  <c r="AO53" i="5" s="1"/>
  <c r="AK53" i="5"/>
  <c r="AL53" i="5"/>
  <c r="AM53" i="5"/>
  <c r="AN53" i="5" s="1"/>
  <c r="AP53" i="5" s="1"/>
  <c r="AQ53" i="5" s="1"/>
  <c r="AJ54" i="5"/>
  <c r="AO54" i="5" s="1"/>
  <c r="AK54" i="5"/>
  <c r="AL54" i="5"/>
  <c r="AM54" i="5"/>
  <c r="AN54" i="5" s="1"/>
  <c r="AP54" i="5" s="1"/>
  <c r="AQ54" i="5" s="1"/>
  <c r="AJ55" i="5"/>
  <c r="AO55" i="5" s="1"/>
  <c r="AK55" i="5"/>
  <c r="AL55" i="5"/>
  <c r="AM55" i="5"/>
  <c r="AN55" i="5" s="1"/>
  <c r="AP55" i="5" s="1"/>
  <c r="AQ55" i="5" s="1"/>
  <c r="AJ56" i="5"/>
  <c r="AO56" i="5" s="1"/>
  <c r="AK56" i="5"/>
  <c r="AL56" i="5"/>
  <c r="AM56" i="5"/>
  <c r="AN56" i="5" s="1"/>
  <c r="AP56" i="5" s="1"/>
  <c r="AQ56" i="5" s="1"/>
  <c r="AJ57" i="5"/>
  <c r="AO57" i="5" s="1"/>
  <c r="AK57" i="5"/>
  <c r="AL57" i="5"/>
  <c r="AM57" i="5"/>
  <c r="AN57" i="5" s="1"/>
  <c r="AP57" i="5" s="1"/>
  <c r="AQ57" i="5" s="1"/>
  <c r="AJ58" i="5"/>
  <c r="AO58" i="5" s="1"/>
  <c r="AK58" i="5"/>
  <c r="AL58" i="5"/>
  <c r="AM58" i="5"/>
  <c r="AN58" i="5" s="1"/>
  <c r="AP58" i="5" s="1"/>
  <c r="AQ58" i="5" s="1"/>
  <c r="AJ59" i="5"/>
  <c r="AO59" i="5" s="1"/>
  <c r="AK59" i="5"/>
  <c r="AL59" i="5"/>
  <c r="AM59" i="5"/>
  <c r="AN59" i="5" s="1"/>
  <c r="AP59" i="5" s="1"/>
  <c r="AQ59" i="5" s="1"/>
  <c r="AJ60" i="5"/>
  <c r="AO60" i="5" s="1"/>
  <c r="AK60" i="5"/>
  <c r="AL60" i="5"/>
  <c r="AM60" i="5"/>
  <c r="AN60" i="5" s="1"/>
  <c r="AP60" i="5" s="1"/>
  <c r="AQ60" i="5" s="1"/>
  <c r="AJ61" i="5"/>
  <c r="AO61" i="5" s="1"/>
  <c r="AK61" i="5"/>
  <c r="AL61" i="5"/>
  <c r="AM61" i="5"/>
  <c r="AN61" i="5" s="1"/>
  <c r="AP61" i="5" s="1"/>
  <c r="AQ61" i="5" s="1"/>
  <c r="AO38" i="5"/>
  <c r="AM38" i="5"/>
  <c r="AN38" i="5" s="1"/>
  <c r="AP38" i="5" s="1"/>
  <c r="AQ38" i="5" s="1"/>
  <c r="W38" i="5" s="1"/>
  <c r="AL38" i="5"/>
  <c r="AK38" i="5"/>
  <c r="AJ38" i="5"/>
  <c r="AJ6" i="5"/>
  <c r="AO6" i="5" s="1"/>
  <c r="AK6" i="5"/>
  <c r="AL6" i="5"/>
  <c r="AM6" i="5"/>
  <c r="AN6" i="5" s="1"/>
  <c r="AP6" i="5" s="1"/>
  <c r="AJ7" i="5"/>
  <c r="AO7" i="5" s="1"/>
  <c r="AK7" i="5"/>
  <c r="AL7" i="5"/>
  <c r="AM7" i="5"/>
  <c r="AN7" i="5" s="1"/>
  <c r="AP7" i="5" s="1"/>
  <c r="AJ8" i="5"/>
  <c r="AO8" i="5" s="1"/>
  <c r="AK8" i="5"/>
  <c r="AL8" i="5"/>
  <c r="AM8" i="5"/>
  <c r="AN8" i="5" s="1"/>
  <c r="AP8" i="5" s="1"/>
  <c r="AJ9" i="5"/>
  <c r="AO9" i="5" s="1"/>
  <c r="AK9" i="5"/>
  <c r="AL9" i="5"/>
  <c r="AM9" i="5"/>
  <c r="AN9" i="5" s="1"/>
  <c r="AP9" i="5" s="1"/>
  <c r="AJ10" i="5"/>
  <c r="AO10" i="5" s="1"/>
  <c r="AK10" i="5"/>
  <c r="AL10" i="5"/>
  <c r="AM10" i="5"/>
  <c r="AJ11" i="5"/>
  <c r="AO11" i="5" s="1"/>
  <c r="AK11" i="5"/>
  <c r="AL11" i="5"/>
  <c r="AM11" i="5"/>
  <c r="AN11" i="5" s="1"/>
  <c r="AP11" i="5" s="1"/>
  <c r="AJ12" i="5"/>
  <c r="AO12" i="5" s="1"/>
  <c r="AK12" i="5"/>
  <c r="AL12" i="5"/>
  <c r="AM12" i="5"/>
  <c r="AN12" i="5" s="1"/>
  <c r="AP12" i="5" s="1"/>
  <c r="AJ13" i="5"/>
  <c r="AO13" i="5" s="1"/>
  <c r="AK13" i="5"/>
  <c r="AL13" i="5"/>
  <c r="AM13" i="5"/>
  <c r="AN13" i="5" s="1"/>
  <c r="AP13" i="5" s="1"/>
  <c r="AJ14" i="5"/>
  <c r="AO14" i="5" s="1"/>
  <c r="AK14" i="5"/>
  <c r="AL14" i="5"/>
  <c r="AM14" i="5"/>
  <c r="AN14" i="5" s="1"/>
  <c r="AP14" i="5" s="1"/>
  <c r="AJ15" i="5"/>
  <c r="AO15" i="5" s="1"/>
  <c r="AK15" i="5"/>
  <c r="AL15" i="5"/>
  <c r="AM15" i="5"/>
  <c r="AN15" i="5" s="1"/>
  <c r="AP15" i="5" s="1"/>
  <c r="AJ16" i="5"/>
  <c r="AO16" i="5" s="1"/>
  <c r="AK16" i="5"/>
  <c r="AL16" i="5"/>
  <c r="AM16" i="5"/>
  <c r="AN16" i="5" s="1"/>
  <c r="AP16" i="5" s="1"/>
  <c r="AJ17" i="5"/>
  <c r="AO17" i="5" s="1"/>
  <c r="AK17" i="5"/>
  <c r="AL17" i="5"/>
  <c r="AM17" i="5"/>
  <c r="AN17" i="5" s="1"/>
  <c r="AP17" i="5" s="1"/>
  <c r="AJ18" i="5"/>
  <c r="AO18" i="5" s="1"/>
  <c r="AK18" i="5"/>
  <c r="AL18" i="5"/>
  <c r="AM18" i="5"/>
  <c r="AN18" i="5" s="1"/>
  <c r="AP18" i="5" s="1"/>
  <c r="AJ19" i="5"/>
  <c r="AO19" i="5" s="1"/>
  <c r="AK19" i="5"/>
  <c r="AL19" i="5"/>
  <c r="AM19" i="5"/>
  <c r="AN19" i="5" s="1"/>
  <c r="AP19" i="5" s="1"/>
  <c r="AJ20" i="5"/>
  <c r="AO20" i="5" s="1"/>
  <c r="AK20" i="5"/>
  <c r="AL20" i="5"/>
  <c r="AM20" i="5"/>
  <c r="AN20" i="5" s="1"/>
  <c r="AP20" i="5" s="1"/>
  <c r="AJ21" i="5"/>
  <c r="AO21" i="5" s="1"/>
  <c r="AK21" i="5"/>
  <c r="AL21" i="5"/>
  <c r="AM21" i="5"/>
  <c r="AN21" i="5" s="1"/>
  <c r="AP21" i="5" s="1"/>
  <c r="AJ22" i="5"/>
  <c r="AO22" i="5" s="1"/>
  <c r="AK22" i="5"/>
  <c r="AL22" i="5"/>
  <c r="AM22" i="5"/>
  <c r="AN22" i="5" s="1"/>
  <c r="AP22" i="5" s="1"/>
  <c r="AJ23" i="5"/>
  <c r="AO23" i="5" s="1"/>
  <c r="AK23" i="5"/>
  <c r="AL23" i="5"/>
  <c r="AM23" i="5"/>
  <c r="AN23" i="5" s="1"/>
  <c r="AP23" i="5" s="1"/>
  <c r="AJ24" i="5"/>
  <c r="AO24" i="5" s="1"/>
  <c r="AK24" i="5"/>
  <c r="AL24" i="5"/>
  <c r="AM24" i="5"/>
  <c r="AN24" i="5" s="1"/>
  <c r="AP24" i="5" s="1"/>
  <c r="AJ25" i="5"/>
  <c r="AO25" i="5" s="1"/>
  <c r="AK25" i="5"/>
  <c r="AL25" i="5"/>
  <c r="AM25" i="5"/>
  <c r="AN25" i="5" s="1"/>
  <c r="AP25" i="5" s="1"/>
  <c r="AJ26" i="5"/>
  <c r="AO26" i="5" s="1"/>
  <c r="AK26" i="5"/>
  <c r="AL26" i="5"/>
  <c r="AM26" i="5"/>
  <c r="AN26" i="5" s="1"/>
  <c r="AP26" i="5" s="1"/>
  <c r="AJ27" i="5"/>
  <c r="AO27" i="5" s="1"/>
  <c r="AK27" i="5"/>
  <c r="AL27" i="5"/>
  <c r="AM27" i="5"/>
  <c r="AN27" i="5" s="1"/>
  <c r="AP27" i="5" s="1"/>
  <c r="AJ28" i="5"/>
  <c r="AO28" i="5" s="1"/>
  <c r="AK28" i="5"/>
  <c r="AL28" i="5"/>
  <c r="AM28" i="5"/>
  <c r="AN28" i="5" s="1"/>
  <c r="AP28" i="5" s="1"/>
  <c r="AP5" i="5"/>
  <c r="AN5" i="5"/>
  <c r="AM5" i="5"/>
  <c r="AL5" i="5"/>
  <c r="AK5" i="5"/>
  <c r="AJ5" i="5"/>
  <c r="AO5" i="5" s="1"/>
  <c r="AQ5" i="5" s="1"/>
  <c r="W5" i="5" s="1"/>
  <c r="C4" i="4"/>
  <c r="A21" i="6"/>
  <c r="AT24" i="6" s="1"/>
  <c r="AQ41" i="5" l="1"/>
  <c r="W41" i="5" s="1"/>
  <c r="AN10" i="5"/>
  <c r="AP10" i="5" s="1"/>
  <c r="AQ10" i="5" s="1"/>
  <c r="W10" i="5" s="1"/>
  <c r="AQ27" i="5"/>
  <c r="W27" i="5" s="1"/>
  <c r="AQ25" i="5"/>
  <c r="W25" i="5" s="1"/>
  <c r="AQ23" i="5"/>
  <c r="W23" i="5" s="1"/>
  <c r="AQ21" i="5"/>
  <c r="W21" i="5" s="1"/>
  <c r="AQ19" i="5"/>
  <c r="W19" i="5" s="1"/>
  <c r="AQ17" i="5"/>
  <c r="W17" i="5" s="1"/>
  <c r="AQ15" i="5"/>
  <c r="W15" i="5" s="1"/>
  <c r="AQ13" i="5"/>
  <c r="W13" i="5" s="1"/>
  <c r="AQ11" i="5"/>
  <c r="W11" i="5" s="1"/>
  <c r="AQ9" i="5"/>
  <c r="W9" i="5" s="1"/>
  <c r="AQ7" i="5"/>
  <c r="W7" i="5" s="1"/>
  <c r="AQ28" i="5"/>
  <c r="W28" i="5" s="1"/>
  <c r="AQ26" i="5"/>
  <c r="W26" i="5" s="1"/>
  <c r="AQ24" i="5"/>
  <c r="W24" i="5" s="1"/>
  <c r="AQ22" i="5"/>
  <c r="W22" i="5" s="1"/>
  <c r="AQ20" i="5"/>
  <c r="W20" i="5" s="1"/>
  <c r="AQ18" i="5"/>
  <c r="W18" i="5" s="1"/>
  <c r="AQ16" i="5"/>
  <c r="W16" i="5" s="1"/>
  <c r="AQ14" i="5"/>
  <c r="W14" i="5" s="1"/>
  <c r="AQ12" i="5"/>
  <c r="W12" i="5" s="1"/>
  <c r="AQ8" i="5"/>
  <c r="W8" i="5" s="1"/>
  <c r="AQ6" i="5"/>
  <c r="W6" i="5" s="1"/>
  <c r="AD28" i="6"/>
  <c r="Y29" i="6"/>
  <c r="G28" i="6"/>
  <c r="AW29" i="6"/>
  <c r="AE28" i="6"/>
  <c r="W30" i="6"/>
  <c r="E29" i="6"/>
  <c r="AU30" i="6"/>
  <c r="AC29" i="6"/>
  <c r="K28" i="6"/>
  <c r="AP30" i="6"/>
  <c r="AI28" i="6"/>
  <c r="X29" i="6"/>
  <c r="R30" i="6"/>
  <c r="AY29" i="6"/>
  <c r="F28" i="6"/>
  <c r="AV29" i="6"/>
  <c r="W28" i="6"/>
  <c r="AU28" i="6"/>
  <c r="R28" i="6"/>
  <c r="AP28" i="6"/>
  <c r="S28" i="6"/>
  <c r="AQ28" i="6"/>
  <c r="Q29" i="6"/>
  <c r="AO29" i="6"/>
  <c r="L29" i="6"/>
  <c r="AJ29" i="6"/>
  <c r="M29" i="6"/>
  <c r="AK29" i="6"/>
  <c r="K30" i="6"/>
  <c r="AI30" i="6"/>
  <c r="F30" i="6"/>
  <c r="AD30" i="6"/>
  <c r="G30" i="6"/>
  <c r="AE30" i="6"/>
  <c r="AL28" i="6"/>
  <c r="J28" i="6"/>
  <c r="C29" i="6"/>
  <c r="AB29" i="6"/>
  <c r="AX30" i="6"/>
  <c r="V30" i="6"/>
  <c r="Q28" i="6"/>
  <c r="AJ28" i="6"/>
  <c r="AK28" i="6"/>
  <c r="AI29" i="6"/>
  <c r="T28" i="6"/>
  <c r="O28" i="6"/>
  <c r="P28" i="6"/>
  <c r="N29" i="6"/>
  <c r="I29" i="6"/>
  <c r="AG29" i="6"/>
  <c r="AH29" i="6"/>
  <c r="AF30" i="6"/>
  <c r="C30" i="6"/>
  <c r="D30" i="6"/>
  <c r="AB30" i="6"/>
  <c r="B28" i="6"/>
  <c r="Z28" i="6"/>
  <c r="AX28" i="6"/>
  <c r="U28" i="6"/>
  <c r="AS28" i="6"/>
  <c r="V28" i="6"/>
  <c r="AT28" i="6"/>
  <c r="T29" i="6"/>
  <c r="AR29" i="6"/>
  <c r="O29" i="6"/>
  <c r="AM29" i="6"/>
  <c r="P29" i="6"/>
  <c r="AN29" i="6"/>
  <c r="N30" i="6"/>
  <c r="AL30" i="6"/>
  <c r="I30" i="6"/>
  <c r="AG30" i="6"/>
  <c r="J30" i="6"/>
  <c r="AH30" i="6"/>
  <c r="N28" i="6"/>
  <c r="AH28" i="6"/>
  <c r="AA29" i="6"/>
  <c r="B30" i="6"/>
  <c r="U30" i="6"/>
  <c r="AT30" i="6"/>
  <c r="AO28" i="6"/>
  <c r="M28" i="6"/>
  <c r="F29" i="6"/>
  <c r="AR28" i="6"/>
  <c r="AM28" i="6"/>
  <c r="AN28" i="6"/>
  <c r="AL29" i="6"/>
  <c r="J29" i="6"/>
  <c r="H30" i="6"/>
  <c r="AA30" i="6"/>
  <c r="E28" i="6"/>
  <c r="AC28" i="6"/>
  <c r="AY28" i="6"/>
  <c r="X28" i="6"/>
  <c r="AV28" i="6"/>
  <c r="Y28" i="6"/>
  <c r="AW28" i="6"/>
  <c r="W29" i="6"/>
  <c r="AU29" i="6"/>
  <c r="R29" i="6"/>
  <c r="AP29" i="6"/>
  <c r="S29" i="6"/>
  <c r="AQ29" i="6"/>
  <c r="Q30" i="6"/>
  <c r="AO30" i="6"/>
  <c r="L30" i="6"/>
  <c r="AJ30" i="6"/>
  <c r="M30" i="6"/>
  <c r="AK30" i="6"/>
  <c r="S30" i="6"/>
  <c r="I28" i="6"/>
  <c r="H29" i="6"/>
  <c r="H28" i="6"/>
  <c r="AF28" i="6"/>
  <c r="C28" i="6"/>
  <c r="AA28" i="6"/>
  <c r="D28" i="6"/>
  <c r="AB28" i="6"/>
  <c r="B29" i="6"/>
  <c r="Z29" i="6"/>
  <c r="AX29" i="6"/>
  <c r="U29" i="6"/>
  <c r="AS29" i="6"/>
  <c r="V29" i="6"/>
  <c r="AT29" i="6"/>
  <c r="T30" i="6"/>
  <c r="AR30" i="6"/>
  <c r="O30" i="6"/>
  <c r="AM30" i="6"/>
  <c r="P30" i="6"/>
  <c r="AN30" i="6"/>
  <c r="AQ30" i="6"/>
  <c r="AG28" i="6"/>
  <c r="AF29" i="6"/>
  <c r="D29" i="6"/>
  <c r="Z30" i="6"/>
  <c r="AS30" i="6"/>
  <c r="L28" i="6"/>
  <c r="K29" i="6"/>
  <c r="AD29" i="6"/>
  <c r="G29" i="6"/>
  <c r="AE29" i="6"/>
  <c r="E30" i="6"/>
  <c r="AC30" i="6"/>
  <c r="AY30" i="6"/>
  <c r="X30" i="6"/>
  <c r="AV30" i="6"/>
  <c r="Y30" i="6"/>
  <c r="AW30" i="6"/>
  <c r="Q25" i="6"/>
  <c r="AD25" i="6"/>
  <c r="E26" i="6"/>
  <c r="AY26" i="6"/>
  <c r="Y26" i="6"/>
  <c r="W27" i="6"/>
  <c r="AP27" i="6"/>
  <c r="T25" i="6"/>
  <c r="AG25" i="6"/>
  <c r="H26" i="6"/>
  <c r="AA26" i="6"/>
  <c r="B27" i="6"/>
  <c r="U27" i="6"/>
  <c r="AT27" i="6"/>
  <c r="I25" i="6"/>
  <c r="K26" i="6"/>
  <c r="F26" i="6"/>
  <c r="G26" i="6"/>
  <c r="E27" i="6"/>
  <c r="AY27" i="6"/>
  <c r="Y27" i="6"/>
  <c r="AO25" i="6"/>
  <c r="P25" i="6"/>
  <c r="AG26" i="6"/>
  <c r="AB27" i="6"/>
  <c r="C25" i="6"/>
  <c r="AE25" i="6"/>
  <c r="X26" i="6"/>
  <c r="AU27" i="6"/>
  <c r="S27" i="6"/>
  <c r="AI25" i="6"/>
  <c r="J25" i="6"/>
  <c r="C26" i="6"/>
  <c r="AB26" i="6"/>
  <c r="AX27" i="6"/>
  <c r="AS27" i="6"/>
  <c r="AL25" i="6"/>
  <c r="AK25" i="6"/>
  <c r="AD26" i="6"/>
  <c r="AE26" i="6"/>
  <c r="AC27" i="6"/>
  <c r="X27" i="6"/>
  <c r="AV27" i="6"/>
  <c r="AW27" i="6"/>
  <c r="B25" i="6"/>
  <c r="X23" i="6"/>
  <c r="L25" i="6"/>
  <c r="AM25" i="6"/>
  <c r="AN25" i="6"/>
  <c r="N26" i="6"/>
  <c r="AL26" i="6"/>
  <c r="I26" i="6"/>
  <c r="J26" i="6"/>
  <c r="AH26" i="6"/>
  <c r="H27" i="6"/>
  <c r="AF27" i="6"/>
  <c r="C27" i="6"/>
  <c r="AA27" i="6"/>
  <c r="D27" i="6"/>
  <c r="E25" i="6"/>
  <c r="X24" i="6"/>
  <c r="AR25" i="6"/>
  <c r="O25" i="6"/>
  <c r="AP25" i="6"/>
  <c r="S25" i="6"/>
  <c r="AQ25" i="6"/>
  <c r="Q26" i="6"/>
  <c r="AO26" i="6"/>
  <c r="L26" i="6"/>
  <c r="AJ26" i="6"/>
  <c r="M26" i="6"/>
  <c r="AK26" i="6"/>
  <c r="K27" i="6"/>
  <c r="AI27" i="6"/>
  <c r="F27" i="6"/>
  <c r="AD27" i="6"/>
  <c r="G27" i="6"/>
  <c r="AE27" i="6"/>
  <c r="AJ25" i="6"/>
  <c r="H25" i="6"/>
  <c r="AU25" i="6"/>
  <c r="AS25" i="6"/>
  <c r="T26" i="6"/>
  <c r="O26" i="6"/>
  <c r="P26" i="6"/>
  <c r="AN26" i="6"/>
  <c r="N27" i="6"/>
  <c r="AL27" i="6"/>
  <c r="I27" i="6"/>
  <c r="AG27" i="6"/>
  <c r="J27" i="6"/>
  <c r="AH27" i="6"/>
  <c r="AF25" i="6"/>
  <c r="G25" i="6"/>
  <c r="AC26" i="6"/>
  <c r="AV26" i="6"/>
  <c r="AW26" i="6"/>
  <c r="R27" i="6"/>
  <c r="AQ27" i="6"/>
  <c r="F25" i="6"/>
  <c r="AH25" i="6"/>
  <c r="AF26" i="6"/>
  <c r="D26" i="6"/>
  <c r="Z27" i="6"/>
  <c r="V27" i="6"/>
  <c r="W25" i="6"/>
  <c r="M25" i="6"/>
  <c r="AI26" i="6"/>
  <c r="X25" i="6"/>
  <c r="R25" i="6"/>
  <c r="V25" i="6"/>
  <c r="AT25" i="6"/>
  <c r="AR26" i="6"/>
  <c r="AM26" i="6"/>
  <c r="K25" i="6"/>
  <c r="Z25" i="6"/>
  <c r="AX25" i="6"/>
  <c r="U25" i="6"/>
  <c r="AV25" i="6"/>
  <c r="Y25" i="6"/>
  <c r="AW25" i="6"/>
  <c r="W26" i="6"/>
  <c r="AU26" i="6"/>
  <c r="R26" i="6"/>
  <c r="AP26" i="6"/>
  <c r="S26" i="6"/>
  <c r="AQ26" i="6"/>
  <c r="Q27" i="6"/>
  <c r="AO27" i="6"/>
  <c r="L27" i="6"/>
  <c r="AJ27" i="6"/>
  <c r="M27" i="6"/>
  <c r="AK27" i="6"/>
  <c r="N25" i="6"/>
  <c r="AC25" i="6"/>
  <c r="AY25" i="6"/>
  <c r="AA25" i="6"/>
  <c r="D25" i="6"/>
  <c r="AB25" i="6"/>
  <c r="B26" i="6"/>
  <c r="Z26" i="6"/>
  <c r="AX26" i="6"/>
  <c r="U26" i="6"/>
  <c r="AS26" i="6"/>
  <c r="V26" i="6"/>
  <c r="AT26" i="6"/>
  <c r="T27" i="6"/>
  <c r="AR27" i="6"/>
  <c r="O27" i="6"/>
  <c r="AM27" i="6"/>
  <c r="P27" i="6"/>
  <c r="AN27" i="6"/>
  <c r="G23" i="6"/>
  <c r="O23" i="6"/>
  <c r="W23" i="6"/>
  <c r="AE23" i="6"/>
  <c r="AM23" i="6"/>
  <c r="AU23" i="6"/>
  <c r="N24" i="6"/>
  <c r="AI24" i="6"/>
  <c r="C24" i="6"/>
  <c r="AD24" i="6"/>
  <c r="G24" i="6"/>
  <c r="AE24" i="6"/>
  <c r="M23" i="6"/>
  <c r="U23" i="6"/>
  <c r="AS23" i="6"/>
  <c r="AC24" i="6"/>
  <c r="AV24" i="6"/>
  <c r="Y24" i="6"/>
  <c r="AW24" i="6"/>
  <c r="F23" i="6"/>
  <c r="N23" i="6"/>
  <c r="V23" i="6"/>
  <c r="AD23" i="6"/>
  <c r="AL23" i="6"/>
  <c r="AT23" i="6"/>
  <c r="K24" i="6"/>
  <c r="AF24" i="6"/>
  <c r="B24" i="6"/>
  <c r="AA24" i="6"/>
  <c r="D24" i="6"/>
  <c r="AB24" i="6"/>
  <c r="H23" i="6"/>
  <c r="P23" i="6"/>
  <c r="AF23" i="6"/>
  <c r="AN23" i="6"/>
  <c r="AV23" i="6"/>
  <c r="Q24" i="6"/>
  <c r="AL24" i="6"/>
  <c r="F24" i="6"/>
  <c r="AG24" i="6"/>
  <c r="J24" i="6"/>
  <c r="AH24" i="6"/>
  <c r="E23" i="6"/>
  <c r="AC23" i="6"/>
  <c r="H24" i="6"/>
  <c r="U24" i="6"/>
  <c r="Q23" i="6"/>
  <c r="AG23" i="6"/>
  <c r="AW23" i="6"/>
  <c r="T24" i="6"/>
  <c r="I24" i="6"/>
  <c r="M24" i="6"/>
  <c r="B23" i="6"/>
  <c r="R23" i="6"/>
  <c r="AH23" i="6"/>
  <c r="AX23" i="6"/>
  <c r="W24" i="6"/>
  <c r="L24" i="6"/>
  <c r="P24" i="6"/>
  <c r="AN24" i="6"/>
  <c r="C23" i="6"/>
  <c r="K23" i="6"/>
  <c r="S23" i="6"/>
  <c r="AA23" i="6"/>
  <c r="AI23" i="6"/>
  <c r="AQ23" i="6"/>
  <c r="AY23" i="6"/>
  <c r="AU24" i="6"/>
  <c r="O24" i="6"/>
  <c r="AP24" i="6"/>
  <c r="S24" i="6"/>
  <c r="AQ24" i="6"/>
  <c r="AK23" i="6"/>
  <c r="AY24" i="6"/>
  <c r="I23" i="6"/>
  <c r="Y23" i="6"/>
  <c r="AO23" i="6"/>
  <c r="AO24" i="6"/>
  <c r="AJ24" i="6"/>
  <c r="AK24" i="6"/>
  <c r="J23" i="6"/>
  <c r="Z23" i="6"/>
  <c r="AP23" i="6"/>
  <c r="AR24" i="6"/>
  <c r="AM24" i="6"/>
  <c r="D23" i="6"/>
  <c r="L23" i="6"/>
  <c r="T23" i="6"/>
  <c r="AB23" i="6"/>
  <c r="AJ23" i="6"/>
  <c r="AR23" i="6"/>
  <c r="E24" i="6"/>
  <c r="Z24" i="6"/>
  <c r="AX24" i="6"/>
  <c r="R24" i="6"/>
  <c r="AS24" i="6"/>
  <c r="V24" i="6"/>
  <c r="A28" i="6"/>
  <c r="DX1" i="9"/>
  <c r="AN15" i="9"/>
  <c r="AN14" i="9"/>
  <c r="AN12" i="9"/>
  <c r="AN11" i="9"/>
  <c r="AN9" i="9"/>
  <c r="AN8" i="9"/>
  <c r="K15" i="9"/>
  <c r="K14" i="9"/>
  <c r="K12" i="9"/>
  <c r="K11" i="9"/>
  <c r="K9" i="9"/>
  <c r="K8" i="9"/>
  <c r="P36" i="5"/>
  <c r="O36" i="5"/>
  <c r="N36" i="5"/>
  <c r="M36" i="5"/>
  <c r="L36" i="5"/>
  <c r="K36" i="5"/>
  <c r="K3" i="5"/>
  <c r="O3" i="5"/>
  <c r="N3" i="5"/>
  <c r="M3" i="5"/>
  <c r="L3" i="5"/>
  <c r="P3" i="5"/>
  <c r="Q3" i="5"/>
  <c r="A26" i="6" l="1"/>
  <c r="A27" i="6"/>
  <c r="A29" i="6"/>
  <c r="A30" i="6"/>
  <c r="A23" i="6"/>
  <c r="A24" i="6"/>
  <c r="A25" i="6"/>
  <c r="DN34" i="9"/>
  <c r="DM4" i="9"/>
  <c r="B3" i="4"/>
  <c r="B2" i="4"/>
  <c r="A2" i="4"/>
  <c r="DP26" i="9" l="1"/>
  <c r="DP24" i="9"/>
  <c r="DP21" i="9"/>
  <c r="DP19" i="9"/>
  <c r="DP17" i="9"/>
  <c r="DP14" i="9"/>
  <c r="DP11" i="9"/>
  <c r="I11" i="1"/>
  <c r="I8" i="1" s="1"/>
  <c r="C9" i="4"/>
  <c r="C8" i="4"/>
  <c r="C7" i="4" l="1"/>
  <c r="D39" i="12"/>
  <c r="F39" i="12" s="1"/>
  <c r="F42" i="12" s="1"/>
  <c r="D44" i="12"/>
  <c r="E33" i="12"/>
  <c r="A33" i="12"/>
  <c r="C30" i="12"/>
  <c r="C49" i="12" s="1"/>
  <c r="D21" i="12"/>
  <c r="D16" i="12"/>
  <c r="F16" i="12" s="1"/>
  <c r="F19" i="12" s="1"/>
  <c r="E10" i="12"/>
  <c r="A10" i="12"/>
  <c r="C7" i="12"/>
  <c r="C26" i="12" s="1"/>
  <c r="AJ31" i="7" l="1"/>
  <c r="Z286" i="10" l="1"/>
  <c r="Z285" i="10"/>
  <c r="Z284" i="10"/>
  <c r="W286" i="10"/>
  <c r="W285" i="10"/>
  <c r="W284" i="10"/>
  <c r="Z246" i="10"/>
  <c r="Z245" i="10"/>
  <c r="Z244" i="10"/>
  <c r="W246" i="10"/>
  <c r="W245" i="10"/>
  <c r="W244" i="10"/>
  <c r="Z206" i="10"/>
  <c r="Z205" i="10"/>
  <c r="Z204" i="10"/>
  <c r="W206" i="10"/>
  <c r="W205" i="10"/>
  <c r="W204" i="10"/>
  <c r="Z166" i="10"/>
  <c r="Z165" i="10"/>
  <c r="Z164" i="10"/>
  <c r="W166" i="10"/>
  <c r="W165" i="10"/>
  <c r="W164" i="10"/>
  <c r="Z126" i="10"/>
  <c r="Z125" i="10"/>
  <c r="Z124" i="10"/>
  <c r="W126" i="10"/>
  <c r="W125" i="10"/>
  <c r="W124" i="10"/>
  <c r="W84" i="10"/>
  <c r="Z86" i="10"/>
  <c r="W86" i="10"/>
  <c r="Z85" i="10"/>
  <c r="W85" i="10"/>
  <c r="Z84" i="10"/>
  <c r="W44" i="10"/>
  <c r="Z46" i="10"/>
  <c r="W46" i="10"/>
  <c r="Z45" i="10"/>
  <c r="W45" i="10"/>
  <c r="Z44" i="10"/>
  <c r="Z6" i="10"/>
  <c r="Z5" i="10"/>
  <c r="Z4" i="10"/>
  <c r="W6" i="10"/>
  <c r="W5" i="10"/>
  <c r="W4" i="10"/>
  <c r="A19" i="11" l="1"/>
  <c r="A14" i="11"/>
  <c r="A9" i="11"/>
  <c r="E6" i="11"/>
  <c r="A31" i="11"/>
  <c r="A34" i="11"/>
  <c r="A20" i="11"/>
  <c r="A28" i="11"/>
  <c r="E4" i="11"/>
  <c r="A24" i="11" l="1"/>
  <c r="A29" i="11"/>
  <c r="A10" i="11"/>
  <c r="A13" i="11"/>
  <c r="A23" i="11"/>
  <c r="A33" i="11"/>
  <c r="A30" i="11"/>
  <c r="A15" i="11"/>
  <c r="A25" i="11"/>
  <c r="A35" i="11"/>
  <c r="A16" i="11"/>
  <c r="A26" i="11"/>
  <c r="A36" i="11"/>
  <c r="A8" i="11"/>
  <c r="A18" i="11"/>
  <c r="A11" i="11"/>
  <c r="A21" i="11"/>
  <c r="E283" i="10" l="1"/>
  <c r="I243" i="10"/>
  <c r="E243" i="10"/>
  <c r="I203" i="10"/>
  <c r="E203" i="10"/>
  <c r="I163" i="10"/>
  <c r="E163" i="10"/>
  <c r="E3" i="10"/>
  <c r="I123" i="10"/>
  <c r="E123" i="10"/>
  <c r="S36" i="5"/>
  <c r="V3" i="5"/>
  <c r="I83" i="10"/>
  <c r="E83" i="10"/>
  <c r="I43" i="10"/>
  <c r="E286" i="10"/>
  <c r="E246" i="10"/>
  <c r="E284" i="10" s="1"/>
  <c r="E206" i="10"/>
  <c r="E244" i="10" s="1"/>
  <c r="E166" i="10"/>
  <c r="E204" i="10" s="1"/>
  <c r="E126" i="10"/>
  <c r="E164" i="10" s="1"/>
  <c r="E86" i="10"/>
  <c r="E124" i="10" s="1"/>
  <c r="I3" i="10"/>
  <c r="E46" i="10"/>
  <c r="E84" i="10" s="1"/>
  <c r="E6" i="10"/>
  <c r="E44" i="10" s="1"/>
  <c r="E4" i="10"/>
  <c r="S11" i="1"/>
  <c r="Q43" i="9" l="1"/>
  <c r="AF61" i="5"/>
  <c r="AG61" i="5" s="1"/>
  <c r="AF60" i="5"/>
  <c r="AG60" i="5" s="1"/>
  <c r="AE60" i="5"/>
  <c r="AF59" i="5"/>
  <c r="AG59" i="5" s="1"/>
  <c r="AF58" i="5"/>
  <c r="AG58" i="5" s="1"/>
  <c r="AF57" i="5"/>
  <c r="AG57" i="5" s="1"/>
  <c r="AF56" i="5"/>
  <c r="AG56" i="5" s="1"/>
  <c r="AF55" i="5"/>
  <c r="AG55" i="5" s="1"/>
  <c r="AF54" i="5"/>
  <c r="AG54" i="5" s="1"/>
  <c r="AF53" i="5"/>
  <c r="AG53" i="5" s="1"/>
  <c r="AF52" i="5"/>
  <c r="AF51" i="5"/>
  <c r="AF50" i="5"/>
  <c r="AF49" i="5"/>
  <c r="AG49" i="5" s="1"/>
  <c r="AF48" i="5"/>
  <c r="AG48" i="5" s="1"/>
  <c r="AF47" i="5"/>
  <c r="AG47" i="5" s="1"/>
  <c r="AF46" i="5"/>
  <c r="AG46" i="5" s="1"/>
  <c r="AF45" i="5"/>
  <c r="AG45" i="5" s="1"/>
  <c r="AF44" i="5"/>
  <c r="AG44" i="5" s="1"/>
  <c r="AF43" i="5"/>
  <c r="AG43" i="5" s="1"/>
  <c r="AF42" i="5"/>
  <c r="AF41" i="5"/>
  <c r="AF40" i="5"/>
  <c r="AF39" i="5"/>
  <c r="AF38" i="5"/>
  <c r="AI37" i="5"/>
  <c r="AF6" i="5"/>
  <c r="AF7" i="5"/>
  <c r="AF8" i="5"/>
  <c r="AF9" i="5"/>
  <c r="AF10" i="5"/>
  <c r="AF11" i="5"/>
  <c r="AF12" i="5"/>
  <c r="AG12" i="5" s="1"/>
  <c r="AF13" i="5"/>
  <c r="AF14" i="5"/>
  <c r="AF15" i="5"/>
  <c r="AG15" i="5" s="1"/>
  <c r="AF16" i="5"/>
  <c r="AG16" i="5" s="1"/>
  <c r="AF17" i="5"/>
  <c r="AF18" i="5"/>
  <c r="AF19" i="5"/>
  <c r="AG19" i="5" s="1"/>
  <c r="AF20" i="5"/>
  <c r="AF21" i="5"/>
  <c r="AG21" i="5" s="1"/>
  <c r="AF22" i="5"/>
  <c r="AG22" i="5" s="1"/>
  <c r="AF23" i="5"/>
  <c r="AG23" i="5" s="1"/>
  <c r="AF24" i="5"/>
  <c r="AG24" i="5" s="1"/>
  <c r="AF25" i="5"/>
  <c r="AG25" i="5" s="1"/>
  <c r="AF26" i="5"/>
  <c r="AG26" i="5" s="1"/>
  <c r="AF27" i="5"/>
  <c r="AG27" i="5" s="1"/>
  <c r="AF28" i="5"/>
  <c r="AG28" i="5" s="1"/>
  <c r="AG13" i="5"/>
  <c r="AG14" i="5"/>
  <c r="AF5" i="5"/>
  <c r="C32" i="5"/>
  <c r="C31" i="5"/>
  <c r="C30" i="5"/>
  <c r="C65" i="5"/>
  <c r="C64" i="5"/>
  <c r="C63" i="5"/>
  <c r="DM28" i="9"/>
  <c r="DB26" i="9"/>
  <c r="DB24" i="9"/>
  <c r="DB21" i="9"/>
  <c r="DB19" i="9"/>
  <c r="DB17" i="9"/>
  <c r="DB14" i="9"/>
  <c r="DB11" i="9"/>
  <c r="DB8" i="9"/>
  <c r="DJ26" i="9"/>
  <c r="DI26" i="9"/>
  <c r="DH26" i="9"/>
  <c r="DG26" i="9"/>
  <c r="DF26" i="9"/>
  <c r="DE26" i="9"/>
  <c r="DD26" i="9"/>
  <c r="DC26" i="9"/>
  <c r="CI26" i="9"/>
  <c r="CF26" i="9"/>
  <c r="DJ24" i="9"/>
  <c r="DI24" i="9"/>
  <c r="DH24" i="9"/>
  <c r="DG24" i="9"/>
  <c r="DF24" i="9"/>
  <c r="DE24" i="9"/>
  <c r="DD24" i="9"/>
  <c r="DC24" i="9"/>
  <c r="CI24" i="9"/>
  <c r="CF24" i="9"/>
  <c r="DD22" i="9"/>
  <c r="DC22" i="9"/>
  <c r="DJ21" i="9"/>
  <c r="DI21" i="9"/>
  <c r="DH21" i="9"/>
  <c r="DG21" i="9"/>
  <c r="DF21" i="9"/>
  <c r="DE21" i="9"/>
  <c r="DD21" i="9"/>
  <c r="DC21" i="9"/>
  <c r="CI21" i="9"/>
  <c r="CF21" i="9"/>
  <c r="DJ19" i="9"/>
  <c r="DI19" i="9"/>
  <c r="DH19" i="9"/>
  <c r="DG19" i="9"/>
  <c r="DF19" i="9"/>
  <c r="DE19" i="9"/>
  <c r="DD19" i="9"/>
  <c r="DC19" i="9"/>
  <c r="CI19" i="9"/>
  <c r="CF19" i="9"/>
  <c r="DH17" i="9"/>
  <c r="DG17" i="9"/>
  <c r="DF17" i="9"/>
  <c r="DE17" i="9"/>
  <c r="CI17" i="9"/>
  <c r="CF17" i="9"/>
  <c r="CF14" i="9"/>
  <c r="DJ17" i="9"/>
  <c r="DI17" i="9"/>
  <c r="DD17" i="9"/>
  <c r="DC17" i="9"/>
  <c r="CI14" i="9"/>
  <c r="DD15" i="9"/>
  <c r="DC15" i="9"/>
  <c r="DJ14" i="9"/>
  <c r="DI14" i="9"/>
  <c r="DH14" i="9"/>
  <c r="DG14" i="9"/>
  <c r="DF14" i="9"/>
  <c r="DE14" i="9"/>
  <c r="DD14" i="9"/>
  <c r="DC14" i="9"/>
  <c r="DD12" i="9"/>
  <c r="DC12" i="9"/>
  <c r="DJ11" i="9"/>
  <c r="DI11" i="9"/>
  <c r="DH11" i="9"/>
  <c r="DG11" i="9"/>
  <c r="DF11" i="9"/>
  <c r="DE11" i="9"/>
  <c r="DD11" i="9"/>
  <c r="DC11" i="9"/>
  <c r="CI11" i="9"/>
  <c r="CF11" i="9"/>
  <c r="DJ8" i="9"/>
  <c r="DI8" i="9"/>
  <c r="DH8" i="9"/>
  <c r="DG8" i="9"/>
  <c r="DF8" i="9"/>
  <c r="DE8" i="9"/>
  <c r="CI8" i="9"/>
  <c r="CF8" i="9"/>
  <c r="DD9" i="9"/>
  <c r="DD8" i="9"/>
  <c r="DC9" i="9"/>
  <c r="DC8" i="9"/>
  <c r="AL2" i="9"/>
  <c r="M17" i="8"/>
  <c r="M16" i="8"/>
  <c r="K26" i="8"/>
  <c r="BV4" i="9" s="1"/>
  <c r="BV3" i="9"/>
  <c r="BV2" i="9"/>
  <c r="BV1" i="9"/>
  <c r="AL1" i="9"/>
  <c r="G4" i="9"/>
  <c r="AS6" i="9" s="1"/>
  <c r="AB6" i="11" s="1"/>
  <c r="G3" i="9"/>
  <c r="P6" i="9" s="1"/>
  <c r="M6" i="11" s="1"/>
  <c r="T2" i="9"/>
  <c r="G1" i="9"/>
  <c r="V66" i="5"/>
  <c r="V65" i="5"/>
  <c r="V64" i="5"/>
  <c r="V63" i="5"/>
  <c r="V61" i="5"/>
  <c r="AE61" i="5" s="1"/>
  <c r="V60" i="5"/>
  <c r="V59" i="5"/>
  <c r="AE59" i="5" s="1"/>
  <c r="V58" i="5"/>
  <c r="AE58" i="5" s="1"/>
  <c r="V49" i="5"/>
  <c r="AE49" i="5" s="1"/>
  <c r="V48" i="5"/>
  <c r="AE48" i="5" s="1"/>
  <c r="V47" i="5"/>
  <c r="AE47" i="5" s="1"/>
  <c r="V46" i="5"/>
  <c r="AE46" i="5" s="1"/>
  <c r="V13" i="5"/>
  <c r="AE13" i="5" s="1"/>
  <c r="V14" i="5"/>
  <c r="AE14" i="5" s="1"/>
  <c r="V15" i="5"/>
  <c r="AE15" i="5" s="1"/>
  <c r="V16" i="5"/>
  <c r="AE16" i="5" s="1"/>
  <c r="V25" i="5"/>
  <c r="AE25" i="5" s="1"/>
  <c r="V26" i="5"/>
  <c r="AE26" i="5" s="1"/>
  <c r="V27" i="5"/>
  <c r="AE27" i="5" s="1"/>
  <c r="V28" i="5"/>
  <c r="AE28" i="5" s="1"/>
  <c r="V30" i="5"/>
  <c r="V31" i="5"/>
  <c r="V32" i="5"/>
  <c r="V33" i="5"/>
  <c r="M9" i="8"/>
  <c r="N15" i="8"/>
  <c r="T13" i="1"/>
  <c r="Q28" i="8"/>
  <c r="P11" i="8"/>
  <c r="P13" i="8"/>
  <c r="P14" i="8"/>
  <c r="P15" i="8"/>
  <c r="P16" i="8"/>
  <c r="P17" i="8"/>
  <c r="P18" i="8"/>
  <c r="P19" i="8"/>
  <c r="P20" i="8"/>
  <c r="P21" i="8"/>
  <c r="P22" i="8"/>
  <c r="P23" i="8"/>
  <c r="P24" i="8"/>
  <c r="P25" i="8"/>
  <c r="P26" i="8"/>
  <c r="P27" i="8"/>
  <c r="P10" i="8"/>
  <c r="M12" i="8"/>
  <c r="M13" i="8"/>
  <c r="M14" i="8"/>
  <c r="M15" i="8"/>
  <c r="M18" i="8"/>
  <c r="M19" i="8"/>
  <c r="M20" i="8"/>
  <c r="M21" i="8"/>
  <c r="M22" i="8"/>
  <c r="M23" i="8"/>
  <c r="M24" i="8"/>
  <c r="M11" i="8"/>
  <c r="M10" i="8"/>
  <c r="N14" i="8"/>
  <c r="H12" i="8" s="1"/>
  <c r="S10" i="8" s="1"/>
  <c r="S12" i="8" s="1"/>
  <c r="Y32" i="9" s="1"/>
  <c r="G12" i="8"/>
  <c r="R10" i="8" s="1"/>
  <c r="S13" i="8" s="1"/>
  <c r="AI32" i="9" s="1"/>
  <c r="H5" i="8"/>
  <c r="B5" i="8"/>
  <c r="R11" i="1"/>
  <c r="AK55" i="7"/>
  <c r="AJ25" i="7"/>
  <c r="AJ54" i="7"/>
  <c r="AJ50" i="7"/>
  <c r="AJ47" i="7"/>
  <c r="AJ45" i="7"/>
  <c r="AJ40" i="7"/>
  <c r="AJ22" i="7"/>
  <c r="AJ15" i="7"/>
  <c r="AJ14" i="7"/>
  <c r="AJ13" i="7"/>
  <c r="AJ12" i="7"/>
  <c r="AJ10" i="7"/>
  <c r="AJ9" i="7"/>
  <c r="O5" i="7"/>
  <c r="O4" i="7"/>
  <c r="A4" i="7"/>
  <c r="AA4" i="7"/>
  <c r="V1" i="7"/>
  <c r="A1" i="7"/>
  <c r="R36" i="5"/>
  <c r="S3" i="5"/>
  <c r="R3" i="5"/>
  <c r="U36" i="5"/>
  <c r="T36" i="5"/>
  <c r="Q36" i="5"/>
  <c r="T3" i="5"/>
  <c r="U3" i="5"/>
  <c r="A66" i="5"/>
  <c r="A65" i="5"/>
  <c r="A64" i="5"/>
  <c r="A63" i="5"/>
  <c r="BJ39" i="9" s="1"/>
  <c r="B61" i="5"/>
  <c r="A61" i="5"/>
  <c r="AD61" i="5" s="1"/>
  <c r="B60" i="5"/>
  <c r="A60" i="5"/>
  <c r="B59" i="5"/>
  <c r="A59" i="5"/>
  <c r="B58" i="5"/>
  <c r="A58" i="5"/>
  <c r="B49" i="5"/>
  <c r="A49" i="5"/>
  <c r="B48" i="5"/>
  <c r="A48" i="5"/>
  <c r="B47" i="5"/>
  <c r="A47" i="5"/>
  <c r="B46" i="5"/>
  <c r="A46" i="5"/>
  <c r="A31" i="5"/>
  <c r="A32" i="5"/>
  <c r="A33" i="5"/>
  <c r="B13" i="5"/>
  <c r="B14" i="5"/>
  <c r="B15" i="5"/>
  <c r="B16" i="5"/>
  <c r="B25" i="5"/>
  <c r="B26" i="5"/>
  <c r="B27" i="5"/>
  <c r="B28" i="5"/>
  <c r="A30" i="5"/>
  <c r="A13" i="5"/>
  <c r="A14" i="5"/>
  <c r="A15" i="5"/>
  <c r="A16" i="5"/>
  <c r="A25" i="5"/>
  <c r="A26" i="5"/>
  <c r="A27" i="5"/>
  <c r="A28" i="5"/>
  <c r="F34" i="5"/>
  <c r="J57" i="5" s="1"/>
  <c r="B57" i="5" s="1"/>
  <c r="W35" i="5"/>
  <c r="W2" i="5"/>
  <c r="F1" i="5"/>
  <c r="H24" i="5" s="1"/>
  <c r="C5" i="4"/>
  <c r="C6" i="4"/>
  <c r="C27" i="4"/>
  <c r="C10" i="4"/>
  <c r="C11" i="4"/>
  <c r="C12" i="4"/>
  <c r="C13" i="4"/>
  <c r="C14" i="4"/>
  <c r="C15" i="4"/>
  <c r="C16" i="4"/>
  <c r="C17" i="4"/>
  <c r="C18" i="4"/>
  <c r="C19" i="4"/>
  <c r="C20" i="4"/>
  <c r="C21" i="4"/>
  <c r="C22" i="4"/>
  <c r="C23" i="4"/>
  <c r="C24" i="4"/>
  <c r="C25" i="4"/>
  <c r="C26" i="4"/>
  <c r="C28" i="4"/>
  <c r="C29" i="4"/>
  <c r="C30" i="4"/>
  <c r="C31" i="4"/>
  <c r="C33" i="4"/>
  <c r="C34" i="4"/>
  <c r="C35" i="4"/>
  <c r="C36" i="4"/>
  <c r="C37" i="4"/>
  <c r="C38" i="4"/>
  <c r="C39" i="4"/>
  <c r="C40" i="4"/>
  <c r="C41" i="4"/>
  <c r="C42" i="4"/>
  <c r="C43" i="4"/>
  <c r="C44" i="4"/>
  <c r="C45" i="4"/>
  <c r="C46" i="4"/>
  <c r="C47" i="4"/>
  <c r="C48" i="4"/>
  <c r="C49" i="4"/>
  <c r="C50" i="4"/>
  <c r="A3" i="4"/>
  <c r="P26" i="1"/>
  <c r="O20" i="1"/>
  <c r="O17" i="1"/>
  <c r="O14" i="1"/>
  <c r="O11" i="1"/>
  <c r="O9" i="1"/>
  <c r="O8" i="1"/>
  <c r="O5" i="1"/>
  <c r="D5" i="1"/>
  <c r="DP8" i="9" l="1"/>
  <c r="DP28" i="9" s="1"/>
  <c r="A43" i="9"/>
  <c r="E30" i="12"/>
  <c r="A49" i="12" s="1"/>
  <c r="E7" i="12"/>
  <c r="A26" i="12" s="1"/>
  <c r="G2" i="9"/>
  <c r="W39" i="9"/>
  <c r="AB6" i="10"/>
  <c r="AB46" i="10" s="1"/>
  <c r="AB86" i="10" s="1"/>
  <c r="AB126" i="10" s="1"/>
  <c r="AB166" i="10" s="1"/>
  <c r="AB206" i="10" s="1"/>
  <c r="AB246" i="10" s="1"/>
  <c r="AB286" i="10" s="1"/>
  <c r="M6" i="10"/>
  <c r="M46" i="10" s="1"/>
  <c r="M86" i="10" s="1"/>
  <c r="M126" i="10" s="1"/>
  <c r="M166" i="10" s="1"/>
  <c r="M206" i="10" s="1"/>
  <c r="M246" i="10" s="1"/>
  <c r="M286" i="10" s="1"/>
  <c r="DB28" i="9"/>
  <c r="DB29" i="9" s="1"/>
  <c r="S10" i="1" s="1"/>
  <c r="R10" i="1" s="1"/>
  <c r="DK21" i="9"/>
  <c r="CX21" i="9" s="1"/>
  <c r="DM21" i="9" s="1"/>
  <c r="DM32" i="9"/>
  <c r="C2" i="4"/>
  <c r="DC31" i="9"/>
  <c r="DB31" i="9"/>
  <c r="CO26" i="9"/>
  <c r="CU26" i="9" s="1"/>
  <c r="DK26" i="9"/>
  <c r="CX26" i="9" s="1"/>
  <c r="DM26" i="9" s="1"/>
  <c r="DL26" i="9"/>
  <c r="CL26" i="9"/>
  <c r="CR26" i="9" s="1"/>
  <c r="DK24" i="9"/>
  <c r="CX24" i="9" s="1"/>
  <c r="DM24" i="9" s="1"/>
  <c r="CO24" i="9"/>
  <c r="CU24" i="9" s="1"/>
  <c r="CL24" i="9"/>
  <c r="CR24" i="9" s="1"/>
  <c r="DL24" i="9"/>
  <c r="CL21" i="9"/>
  <c r="CR21" i="9" s="1"/>
  <c r="CO21" i="9"/>
  <c r="CU21" i="9" s="1"/>
  <c r="DL21" i="9"/>
  <c r="CO19" i="9"/>
  <c r="CU19" i="9" s="1"/>
  <c r="CL19" i="9"/>
  <c r="CR19" i="9" s="1"/>
  <c r="DK19" i="9"/>
  <c r="CX19" i="9" s="1"/>
  <c r="DM19" i="9" s="1"/>
  <c r="DL19" i="9"/>
  <c r="DL8" i="9"/>
  <c r="DK11" i="9"/>
  <c r="CX11" i="9" s="1"/>
  <c r="DM11" i="9" s="1"/>
  <c r="DL11" i="9"/>
  <c r="CL17" i="9"/>
  <c r="CR17" i="9" s="1"/>
  <c r="CO17" i="9"/>
  <c r="CU17" i="9" s="1"/>
  <c r="DK17" i="9"/>
  <c r="CX17" i="9" s="1"/>
  <c r="DM17" i="9" s="1"/>
  <c r="DL17" i="9"/>
  <c r="DL14" i="9"/>
  <c r="CO14" i="9"/>
  <c r="CU14" i="9" s="1"/>
  <c r="CL14" i="9"/>
  <c r="CR14" i="9" s="1"/>
  <c r="DK14" i="9"/>
  <c r="CX14" i="9" s="1"/>
  <c r="DM14" i="9" s="1"/>
  <c r="CO8" i="9"/>
  <c r="DK8" i="9"/>
  <c r="CX8" i="9" s="1"/>
  <c r="DM8" i="9" s="1"/>
  <c r="DM34" i="9" s="1"/>
  <c r="CO11" i="9"/>
  <c r="CU11" i="9" s="1"/>
  <c r="CL11" i="9"/>
  <c r="CR11" i="9" s="1"/>
  <c r="CL8" i="9"/>
  <c r="C3" i="4"/>
  <c r="P12" i="8"/>
  <c r="P28" i="8" s="1"/>
  <c r="P29" i="8" s="1"/>
  <c r="S8" i="1" s="1"/>
  <c r="AJ55" i="7"/>
  <c r="AJ56" i="7" s="1"/>
  <c r="S7" i="1" s="1"/>
  <c r="R7" i="1" s="1"/>
  <c r="AB36" i="5"/>
  <c r="AB3" i="5"/>
  <c r="F9" i="5"/>
  <c r="H19" i="5"/>
  <c r="J7" i="5"/>
  <c r="F17" i="5"/>
  <c r="H22" i="5"/>
  <c r="H18" i="5"/>
  <c r="F10" i="5"/>
  <c r="F22" i="5"/>
  <c r="H5" i="5"/>
  <c r="H10" i="5"/>
  <c r="J19" i="5"/>
  <c r="F5" i="5"/>
  <c r="F8" i="5"/>
  <c r="J10" i="5"/>
  <c r="H17" i="5"/>
  <c r="F20" i="5"/>
  <c r="J22" i="5"/>
  <c r="J11" i="5"/>
  <c r="J12" i="5"/>
  <c r="J5" i="5"/>
  <c r="H8" i="5"/>
  <c r="F11" i="5"/>
  <c r="J17" i="5"/>
  <c r="F21" i="5"/>
  <c r="F23" i="5"/>
  <c r="H7" i="5"/>
  <c r="J24" i="5"/>
  <c r="F6" i="5"/>
  <c r="J8" i="5"/>
  <c r="H11" i="5"/>
  <c r="F18" i="5"/>
  <c r="H20" i="5"/>
  <c r="H23" i="5"/>
  <c r="H6" i="5"/>
  <c r="J20" i="5"/>
  <c r="J23" i="5"/>
  <c r="J6" i="5"/>
  <c r="H9" i="5"/>
  <c r="F12" i="5"/>
  <c r="J18" i="5"/>
  <c r="H21" i="5"/>
  <c r="F24" i="5"/>
  <c r="A24" i="5" s="1"/>
  <c r="F7" i="5"/>
  <c r="J9" i="5"/>
  <c r="H12" i="5"/>
  <c r="F19" i="5"/>
  <c r="J21" i="5"/>
  <c r="J40" i="5"/>
  <c r="H43" i="5"/>
  <c r="F50" i="5"/>
  <c r="J52" i="5"/>
  <c r="H55" i="5"/>
  <c r="F38" i="5"/>
  <c r="H38" i="5"/>
  <c r="F41" i="5"/>
  <c r="J43" i="5"/>
  <c r="H50" i="5"/>
  <c r="F53" i="5"/>
  <c r="J55" i="5"/>
  <c r="H41" i="5"/>
  <c r="F56" i="5"/>
  <c r="H44" i="5"/>
  <c r="H56" i="5"/>
  <c r="H39" i="5"/>
  <c r="F42" i="5"/>
  <c r="J44" i="5"/>
  <c r="H51" i="5"/>
  <c r="F54" i="5"/>
  <c r="J56" i="5"/>
  <c r="H53" i="5"/>
  <c r="J41" i="5"/>
  <c r="J53" i="5"/>
  <c r="J39" i="5"/>
  <c r="F45" i="5"/>
  <c r="J51" i="5"/>
  <c r="H54" i="5"/>
  <c r="F57" i="5"/>
  <c r="F40" i="5"/>
  <c r="J42" i="5"/>
  <c r="H45" i="5"/>
  <c r="F52" i="5"/>
  <c r="J54" i="5"/>
  <c r="H57" i="5"/>
  <c r="J38" i="5"/>
  <c r="F44" i="5"/>
  <c r="J50" i="5"/>
  <c r="F39" i="5"/>
  <c r="F51" i="5"/>
  <c r="H42" i="5"/>
  <c r="H40" i="5"/>
  <c r="F43" i="5"/>
  <c r="J45" i="5"/>
  <c r="H52" i="5"/>
  <c r="F55" i="5"/>
  <c r="O26" i="1"/>
  <c r="O27" i="1" s="1"/>
  <c r="S6" i="1" s="1"/>
  <c r="R6" i="1" s="1"/>
  <c r="CF28" i="9" l="1"/>
  <c r="CO28" i="9"/>
  <c r="CL28" i="9"/>
  <c r="V23" i="5"/>
  <c r="AE23" i="5" s="1"/>
  <c r="DM35" i="9"/>
  <c r="A57" i="5"/>
  <c r="B41" i="5"/>
  <c r="B51" i="5"/>
  <c r="B52" i="5"/>
  <c r="B20" i="5"/>
  <c r="B24" i="5"/>
  <c r="B12" i="5"/>
  <c r="B19" i="5"/>
  <c r="B7" i="5"/>
  <c r="B11" i="5"/>
  <c r="B39" i="5"/>
  <c r="B22" i="5"/>
  <c r="B40" i="5"/>
  <c r="B18" i="5"/>
  <c r="B17" i="5"/>
  <c r="B21" i="5"/>
  <c r="B10" i="5"/>
  <c r="B42" i="5"/>
  <c r="B6" i="5"/>
  <c r="B8" i="5"/>
  <c r="B38" i="5"/>
  <c r="B9" i="5"/>
  <c r="B23" i="5"/>
  <c r="B5" i="5"/>
  <c r="B43" i="5"/>
  <c r="B50" i="5"/>
  <c r="B56" i="5"/>
  <c r="B55" i="5"/>
  <c r="B54" i="5"/>
  <c r="B44" i="5"/>
  <c r="B45" i="5"/>
  <c r="B53" i="5"/>
  <c r="CU8" i="9"/>
  <c r="CU28" i="9" s="1"/>
  <c r="CR8" i="9"/>
  <c r="CR28" i="9" s="1"/>
  <c r="AB37" i="5"/>
  <c r="AB38" i="5" s="1"/>
  <c r="S9" i="1" s="1"/>
  <c r="R9" i="1" s="1"/>
  <c r="V50" i="5"/>
  <c r="AE50" i="5" s="1"/>
  <c r="AG50" i="5" s="1"/>
  <c r="V45" i="5"/>
  <c r="AE45" i="5" s="1"/>
  <c r="V41" i="5"/>
  <c r="AE41" i="5" s="1"/>
  <c r="AG41" i="5" s="1"/>
  <c r="V40" i="5"/>
  <c r="R8" i="1"/>
  <c r="A6" i="5"/>
  <c r="V6" i="5"/>
  <c r="K17" i="9" s="1"/>
  <c r="M124" i="10" s="1"/>
  <c r="A128" i="10" s="1"/>
  <c r="A133" i="10" s="1"/>
  <c r="A138" i="10" s="1"/>
  <c r="A143" i="10" s="1"/>
  <c r="A148" i="10" s="1"/>
  <c r="A153" i="10" s="1"/>
  <c r="A7" i="5"/>
  <c r="V7" i="5"/>
  <c r="AE7" i="5" s="1"/>
  <c r="AG7" i="5" s="1"/>
  <c r="A10" i="5"/>
  <c r="V10" i="5"/>
  <c r="V19" i="5"/>
  <c r="AE19" i="5" s="1"/>
  <c r="V43" i="5"/>
  <c r="AE43" i="5" s="1"/>
  <c r="A21" i="5"/>
  <c r="V21" i="5"/>
  <c r="A5" i="5"/>
  <c r="V5" i="5"/>
  <c r="M4" i="10" s="1"/>
  <c r="V39" i="5"/>
  <c r="A20" i="5"/>
  <c r="V20" i="5"/>
  <c r="AE20" i="5" s="1"/>
  <c r="AG20" i="5" s="1"/>
  <c r="V56" i="5"/>
  <c r="AE56" i="5" s="1"/>
  <c r="V17" i="5"/>
  <c r="M44" i="10" s="1"/>
  <c r="A48" i="10" s="1"/>
  <c r="A53" i="10" s="1"/>
  <c r="A58" i="10" s="1"/>
  <c r="A63" i="10" s="1"/>
  <c r="A68" i="10" s="1"/>
  <c r="A73" i="10" s="1"/>
  <c r="A53" i="5"/>
  <c r="V53" i="5"/>
  <c r="AE53" i="5" s="1"/>
  <c r="V44" i="5"/>
  <c r="AE44" i="5" s="1"/>
  <c r="A38" i="5"/>
  <c r="V38" i="5"/>
  <c r="A9" i="5"/>
  <c r="V9" i="5"/>
  <c r="AE9" i="5" s="1"/>
  <c r="AG9" i="5" s="1"/>
  <c r="A11" i="5"/>
  <c r="V11" i="5"/>
  <c r="AE11" i="5" s="1"/>
  <c r="AG11" i="5" s="1"/>
  <c r="V18" i="5"/>
  <c r="AE18" i="5" s="1"/>
  <c r="AG18" i="5" s="1"/>
  <c r="A42" i="5"/>
  <c r="V42" i="5"/>
  <c r="V52" i="5"/>
  <c r="A12" i="5"/>
  <c r="V12" i="5"/>
  <c r="A8" i="5"/>
  <c r="V8" i="5"/>
  <c r="M5" i="10" s="1"/>
  <c r="A22" i="5"/>
  <c r="V22" i="5"/>
  <c r="AE22" i="5" s="1"/>
  <c r="A54" i="5"/>
  <c r="V54" i="5"/>
  <c r="AE54" i="5" s="1"/>
  <c r="V55" i="5"/>
  <c r="AE55" i="5" s="1"/>
  <c r="V57" i="5"/>
  <c r="AE57" i="5" s="1"/>
  <c r="V51" i="5"/>
  <c r="AE51" i="5" s="1"/>
  <c r="AG51" i="5" s="1"/>
  <c r="V24" i="5"/>
  <c r="AE24" i="5" s="1"/>
  <c r="A52" i="5"/>
  <c r="A50" i="5"/>
  <c r="A23" i="5"/>
  <c r="A45" i="5"/>
  <c r="A56" i="5"/>
  <c r="A17" i="5"/>
  <c r="A44" i="5"/>
  <c r="A41" i="5"/>
  <c r="A55" i="5"/>
  <c r="A51" i="5"/>
  <c r="A40" i="5"/>
  <c r="A43" i="5"/>
  <c r="A39" i="5"/>
  <c r="A18" i="5"/>
  <c r="A19" i="5"/>
  <c r="AE6" i="5" l="1"/>
  <c r="AG6" i="5" s="1"/>
  <c r="AY28" i="9"/>
  <c r="AE5" i="5"/>
  <c r="AG5" i="5" s="1"/>
  <c r="AE40" i="5"/>
  <c r="AG40" i="5" s="1"/>
  <c r="AE38" i="5"/>
  <c r="AG38" i="5" s="1"/>
  <c r="AI38" i="5" s="1"/>
  <c r="AH38" i="5" s="1"/>
  <c r="AE39" i="5"/>
  <c r="AG39" i="5" s="1"/>
  <c r="AE17" i="5"/>
  <c r="AG17" i="5" s="1"/>
  <c r="AE8" i="5"/>
  <c r="AG8" i="5" s="1"/>
  <c r="AE42" i="5"/>
  <c r="AG42" i="5" s="1"/>
  <c r="AE52" i="5"/>
  <c r="AG52" i="5" s="1"/>
  <c r="AB45" i="10"/>
  <c r="A51" i="10" s="1"/>
  <c r="A56" i="10" s="1"/>
  <c r="A61" i="10" s="1"/>
  <c r="A66" i="10" s="1"/>
  <c r="A71" i="10" s="1"/>
  <c r="A76" i="10" s="1"/>
  <c r="AB44" i="10"/>
  <c r="A50" i="10" s="1"/>
  <c r="A55" i="10" s="1"/>
  <c r="A60" i="10" s="1"/>
  <c r="A65" i="10" s="1"/>
  <c r="A70" i="10" s="1"/>
  <c r="A75" i="10" s="1"/>
  <c r="AE10" i="5"/>
  <c r="AG10" i="5" s="1"/>
  <c r="M84" i="10"/>
  <c r="A88" i="10" s="1"/>
  <c r="A93" i="10" s="1"/>
  <c r="A98" i="10" s="1"/>
  <c r="A103" i="10" s="1"/>
  <c r="A108" i="10" s="1"/>
  <c r="A113" i="10" s="1"/>
  <c r="A18" i="10"/>
  <c r="A8" i="10"/>
  <c r="A28" i="10"/>
  <c r="A33" i="10"/>
  <c r="A13" i="10"/>
  <c r="A23" i="10"/>
  <c r="A9" i="10"/>
  <c r="A34" i="10"/>
  <c r="A14" i="10"/>
  <c r="A29" i="10"/>
  <c r="A19" i="10"/>
  <c r="A24" i="10"/>
  <c r="AE21" i="5"/>
  <c r="M45" i="10"/>
  <c r="A49" i="10" s="1"/>
  <c r="A54" i="10" s="1"/>
  <c r="A59" i="10" s="1"/>
  <c r="A64" i="10" s="1"/>
  <c r="A69" i="10" s="1"/>
  <c r="A74" i="10" s="1"/>
  <c r="AE12" i="5"/>
  <c r="M85" i="10"/>
  <c r="A89" i="10" s="1"/>
  <c r="A94" i="10" s="1"/>
  <c r="A99" i="10" s="1"/>
  <c r="A104" i="10" s="1"/>
  <c r="A109" i="10" s="1"/>
  <c r="A114" i="10" s="1"/>
  <c r="S12" i="1"/>
  <c r="R12" i="1" s="1"/>
  <c r="DR24" i="9"/>
  <c r="O1" i="7"/>
  <c r="B32" i="5"/>
  <c r="K19" i="9"/>
  <c r="M164" i="10" s="1"/>
  <c r="A168" i="10" s="1"/>
  <c r="A173" i="10" s="1"/>
  <c r="A178" i="10" s="1"/>
  <c r="A183" i="10" s="1"/>
  <c r="A188" i="10" s="1"/>
  <c r="A193" i="10" s="1"/>
  <c r="AN26" i="9"/>
  <c r="AB284" i="10" s="1"/>
  <c r="A290" i="10" s="1"/>
  <c r="A295" i="10" s="1"/>
  <c r="A300" i="10" s="1"/>
  <c r="A305" i="10" s="1"/>
  <c r="A310" i="10" s="1"/>
  <c r="A315" i="10" s="1"/>
  <c r="AB84" i="10"/>
  <c r="A90" i="10" s="1"/>
  <c r="A95" i="10" s="1"/>
  <c r="A100" i="10" s="1"/>
  <c r="A105" i="10" s="1"/>
  <c r="A110" i="10" s="1"/>
  <c r="A115" i="10" s="1"/>
  <c r="AN19" i="9"/>
  <c r="AB164" i="10" s="1"/>
  <c r="A170" i="10" s="1"/>
  <c r="A175" i="10" s="1"/>
  <c r="A180" i="10" s="1"/>
  <c r="A185" i="10" s="1"/>
  <c r="A190" i="10" s="1"/>
  <c r="A195" i="10" s="1"/>
  <c r="AN22" i="9"/>
  <c r="AB205" i="10" s="1"/>
  <c r="A211" i="10" s="1"/>
  <c r="A216" i="10" s="1"/>
  <c r="A221" i="10" s="1"/>
  <c r="A226" i="10" s="1"/>
  <c r="A231" i="10" s="1"/>
  <c r="A236" i="10" s="1"/>
  <c r="AN17" i="9"/>
  <c r="AB124" i="10" s="1"/>
  <c r="A130" i="10" s="1"/>
  <c r="A135" i="10" s="1"/>
  <c r="A140" i="10" s="1"/>
  <c r="A145" i="10" s="1"/>
  <c r="A150" i="10" s="1"/>
  <c r="A155" i="10" s="1"/>
  <c r="AB4" i="10"/>
  <c r="AN21" i="9"/>
  <c r="AB204" i="10" s="1"/>
  <c r="A210" i="10" s="1"/>
  <c r="A215" i="10" s="1"/>
  <c r="A220" i="10" s="1"/>
  <c r="A225" i="10" s="1"/>
  <c r="A230" i="10" s="1"/>
  <c r="A235" i="10" s="1"/>
  <c r="AB85" i="10"/>
  <c r="A91" i="10" s="1"/>
  <c r="A96" i="10" s="1"/>
  <c r="A101" i="10" s="1"/>
  <c r="A106" i="10" s="1"/>
  <c r="A111" i="10" s="1"/>
  <c r="A116" i="10" s="1"/>
  <c r="AB5" i="10"/>
  <c r="AN24" i="9"/>
  <c r="AB244" i="10" s="1"/>
  <c r="A250" i="10" s="1"/>
  <c r="A255" i="10" s="1"/>
  <c r="A260" i="10" s="1"/>
  <c r="A265" i="10" s="1"/>
  <c r="A270" i="10" s="1"/>
  <c r="A275" i="10" s="1"/>
  <c r="K24" i="9"/>
  <c r="M244" i="10" s="1"/>
  <c r="A248" i="10" s="1"/>
  <c r="A253" i="10" s="1"/>
  <c r="A258" i="10" s="1"/>
  <c r="A263" i="10" s="1"/>
  <c r="A268" i="10" s="1"/>
  <c r="A273" i="10" s="1"/>
  <c r="K22" i="9"/>
  <c r="M205" i="10" s="1"/>
  <c r="A209" i="10" s="1"/>
  <c r="A214" i="10" s="1"/>
  <c r="A219" i="10" s="1"/>
  <c r="A224" i="10" s="1"/>
  <c r="A229" i="10" s="1"/>
  <c r="A234" i="10" s="1"/>
  <c r="K26" i="9"/>
  <c r="M284" i="10" s="1"/>
  <c r="A288" i="10" s="1"/>
  <c r="A293" i="10" s="1"/>
  <c r="A298" i="10" s="1"/>
  <c r="A303" i="10" s="1"/>
  <c r="A308" i="10" s="1"/>
  <c r="A313" i="10" s="1"/>
  <c r="K21" i="9"/>
  <c r="M204" i="10" s="1"/>
  <c r="A208" i="10" s="1"/>
  <c r="A213" i="10" s="1"/>
  <c r="A218" i="10" s="1"/>
  <c r="A223" i="10" s="1"/>
  <c r="A228" i="10" s="1"/>
  <c r="A233" i="10" s="1"/>
  <c r="B65" i="5"/>
  <c r="B64" i="5"/>
  <c r="B66" i="5"/>
  <c r="B31" i="5"/>
  <c r="B33" i="5"/>
  <c r="B30" i="5"/>
  <c r="AI4" i="5"/>
  <c r="J63" i="5" l="1"/>
  <c r="J30" i="5"/>
  <c r="J33" i="5"/>
  <c r="J31" i="5"/>
  <c r="J66" i="5"/>
  <c r="J64" i="5"/>
  <c r="J65" i="5"/>
  <c r="J32" i="5"/>
  <c r="AI5" i="5"/>
  <c r="AH5" i="5" s="1"/>
  <c r="B31" i="1"/>
  <c r="A35" i="10"/>
  <c r="A20" i="10"/>
  <c r="A15" i="10"/>
  <c r="A25" i="10"/>
  <c r="A10" i="10"/>
  <c r="A30" i="10"/>
  <c r="A26" i="10"/>
  <c r="A36" i="10"/>
  <c r="A11" i="10"/>
  <c r="A16" i="10"/>
  <c r="A31" i="10"/>
  <c r="A21" i="10"/>
  <c r="AI39" i="5"/>
  <c r="AH39" i="5" s="1"/>
  <c r="AI6" i="5" l="1"/>
  <c r="AH6" i="5" s="1"/>
  <c r="AI40" i="5"/>
  <c r="AH40" i="5" s="1"/>
  <c r="AI7" i="5" l="1"/>
  <c r="AH7" i="5" s="1"/>
  <c r="AI41" i="5"/>
  <c r="AH41" i="5" s="1"/>
  <c r="AI8" i="5" l="1"/>
  <c r="AH8" i="5" s="1"/>
  <c r="AI42" i="5"/>
  <c r="AH42" i="5" s="1"/>
  <c r="AI9" i="5" l="1"/>
  <c r="AH9" i="5" s="1"/>
  <c r="AI43" i="5"/>
  <c r="AH43" i="5" s="1"/>
  <c r="AI10" i="5" l="1"/>
  <c r="AH10" i="5" s="1"/>
  <c r="AI44" i="5"/>
  <c r="AH44" i="5" s="1"/>
  <c r="AI11" i="5" l="1"/>
  <c r="AH11" i="5" s="1"/>
  <c r="AI45" i="5"/>
  <c r="AH45" i="5" s="1"/>
  <c r="AI12" i="5" l="1"/>
  <c r="AH12" i="5" s="1"/>
  <c r="AI46" i="5"/>
  <c r="AH46" i="5" s="1"/>
  <c r="AI13" i="5" l="1"/>
  <c r="AH13" i="5" s="1"/>
  <c r="AI47" i="5"/>
  <c r="AH47" i="5" s="1"/>
  <c r="AI14" i="5" l="1"/>
  <c r="AH14" i="5" s="1"/>
  <c r="AI48" i="5"/>
  <c r="AH48" i="5" s="1"/>
  <c r="AI15" i="5" l="1"/>
  <c r="AH15" i="5" s="1"/>
  <c r="AI49" i="5"/>
  <c r="AH49" i="5" s="1"/>
  <c r="AI16" i="5" l="1"/>
  <c r="AH16" i="5" s="1"/>
  <c r="AI50" i="5"/>
  <c r="AH50" i="5" s="1"/>
  <c r="AI17" i="5" l="1"/>
  <c r="AH17" i="5" s="1"/>
  <c r="AI51" i="5"/>
  <c r="AH51" i="5" s="1"/>
  <c r="AI18" i="5" l="1"/>
  <c r="AH18" i="5" s="1"/>
  <c r="AI52" i="5"/>
  <c r="AH52" i="5" s="1"/>
  <c r="AI19" i="5" l="1"/>
  <c r="AH19" i="5" s="1"/>
  <c r="AI53" i="5"/>
  <c r="AH53" i="5" s="1"/>
  <c r="AI20" i="5" l="1"/>
  <c r="AH20" i="5" s="1"/>
  <c r="AI54" i="5"/>
  <c r="AH54" i="5" s="1"/>
  <c r="AI21" i="5" l="1"/>
  <c r="AH21" i="5" s="1"/>
  <c r="AI55" i="5"/>
  <c r="AI56" i="5" s="1"/>
  <c r="AI22" i="5" l="1"/>
  <c r="AH22" i="5" s="1"/>
  <c r="AH55" i="5"/>
  <c r="AI57" i="5"/>
  <c r="AH56" i="5"/>
  <c r="AI23" i="5" l="1"/>
  <c r="AH23" i="5" s="1"/>
  <c r="AH57" i="5"/>
  <c r="AI58" i="5"/>
  <c r="AI24" i="5" l="1"/>
  <c r="AH24" i="5" s="1"/>
  <c r="AH58" i="5"/>
  <c r="AI59" i="5"/>
  <c r="AI25" i="5" l="1"/>
  <c r="AH25" i="5" s="1"/>
  <c r="AH59" i="5"/>
  <c r="AI60" i="5"/>
  <c r="AI26" i="5" l="1"/>
  <c r="AH26" i="5" s="1"/>
  <c r="AH60" i="5"/>
  <c r="AI61" i="5"/>
  <c r="AH61" i="5" s="1"/>
  <c r="AI27" i="5" l="1"/>
  <c r="AH27" i="5" s="1"/>
  <c r="W36" i="9" s="1"/>
  <c r="BJ36" i="9"/>
  <c r="AI28" i="5" l="1"/>
  <c r="AH28" i="5" s="1"/>
</calcChain>
</file>

<file path=xl/sharedStrings.xml><?xml version="1.0" encoding="utf-8"?>
<sst xmlns="http://schemas.openxmlformats.org/spreadsheetml/2006/main" count="1416" uniqueCount="782">
  <si>
    <t>Datum</t>
  </si>
  <si>
    <t>Regionalliga Süd/Ost</t>
  </si>
  <si>
    <t>Staffel Ost</t>
  </si>
  <si>
    <t>Spielbeginn</t>
  </si>
  <si>
    <t>Heim</t>
  </si>
  <si>
    <t>Gast</t>
  </si>
  <si>
    <t>Spielort</t>
  </si>
  <si>
    <t>SR-1</t>
  </si>
  <si>
    <t>SR-2</t>
  </si>
  <si>
    <t>Spielfortschritt:</t>
  </si>
  <si>
    <t>Regionalliga Süd/Ost Spielbericht</t>
  </si>
  <si>
    <t>Staffel Süd</t>
  </si>
  <si>
    <t>Verein</t>
  </si>
  <si>
    <t>Heinz-Wieland-Halle</t>
  </si>
  <si>
    <t>Sporthalle Raschwitzer Straße</t>
  </si>
  <si>
    <t>H1</t>
  </si>
  <si>
    <t>H2</t>
  </si>
  <si>
    <t>H3</t>
  </si>
  <si>
    <t>H4</t>
  </si>
  <si>
    <t>H5</t>
  </si>
  <si>
    <t>H6</t>
  </si>
  <si>
    <t>H7</t>
  </si>
  <si>
    <t>H8</t>
  </si>
  <si>
    <t>Roberto</t>
  </si>
  <si>
    <t>Frankenstein</t>
  </si>
  <si>
    <t>Markus</t>
  </si>
  <si>
    <t>Schwendtner</t>
  </si>
  <si>
    <t>Vorname</t>
  </si>
  <si>
    <t>Name</t>
  </si>
  <si>
    <t>Schiedsrichter</t>
  </si>
  <si>
    <t>Nicht Registrierte Schiedsrichter</t>
  </si>
  <si>
    <t>Nachname</t>
  </si>
  <si>
    <t>/</t>
  </si>
  <si>
    <t>Datum:</t>
  </si>
  <si>
    <t>Farbe der Spielkleidung:</t>
  </si>
  <si>
    <t>Mannschaft:</t>
  </si>
  <si>
    <t>Pos</t>
  </si>
  <si>
    <t>D1</t>
  </si>
  <si>
    <t>H_</t>
  </si>
  <si>
    <t>D2</t>
  </si>
  <si>
    <t>D3</t>
  </si>
  <si>
    <t>D4</t>
  </si>
  <si>
    <t>D5</t>
  </si>
  <si>
    <t>D6</t>
  </si>
  <si>
    <t>D7</t>
  </si>
  <si>
    <t>D_</t>
  </si>
  <si>
    <t>D8</t>
  </si>
  <si>
    <t>Hx1</t>
  </si>
  <si>
    <t>Hx2</t>
  </si>
  <si>
    <t>Dx1</t>
  </si>
  <si>
    <t>Dx2</t>
  </si>
  <si>
    <t>Sta.</t>
  </si>
  <si>
    <t>HD1</t>
  </si>
  <si>
    <t>DD</t>
  </si>
  <si>
    <t>HD2</t>
  </si>
  <si>
    <t>HE1</t>
  </si>
  <si>
    <t>DE</t>
  </si>
  <si>
    <t>GD</t>
  </si>
  <si>
    <t>HE2</t>
  </si>
  <si>
    <t>HE3</t>
  </si>
  <si>
    <t>Vorgesehene Ersatzspieler</t>
  </si>
  <si>
    <t>STM</t>
  </si>
  <si>
    <t>ESV Flügelrad Nürnberg 1</t>
  </si>
  <si>
    <t>Massari</t>
  </si>
  <si>
    <t>Manuel</t>
  </si>
  <si>
    <t>Schwenger</t>
  </si>
  <si>
    <t>Marc</t>
  </si>
  <si>
    <t>Körber</t>
  </si>
  <si>
    <t>Florian</t>
  </si>
  <si>
    <t>Tatar</t>
  </si>
  <si>
    <t>Stefan</t>
  </si>
  <si>
    <t>Kohl</t>
  </si>
  <si>
    <t>Arno</t>
  </si>
  <si>
    <t>Schlosser</t>
  </si>
  <si>
    <t>Frank</t>
  </si>
  <si>
    <t>Ebenhöh</t>
  </si>
  <si>
    <t>Norbert</t>
  </si>
  <si>
    <t>Firth</t>
  </si>
  <si>
    <t>Sascha Frank</t>
  </si>
  <si>
    <t>##</t>
  </si>
  <si>
    <t>Storch</t>
  </si>
  <si>
    <t>Amelie</t>
  </si>
  <si>
    <t>Klaßmüller</t>
  </si>
  <si>
    <t>Angela</t>
  </si>
  <si>
    <t>Rohde</t>
  </si>
  <si>
    <t>Nora</t>
  </si>
  <si>
    <t>Friedrich</t>
  </si>
  <si>
    <t>Tatjana</t>
  </si>
  <si>
    <t>Freund</t>
  </si>
  <si>
    <t>Yvonne</t>
  </si>
  <si>
    <t>Fischer</t>
  </si>
  <si>
    <t>Julia</t>
  </si>
  <si>
    <t>Knödel</t>
  </si>
  <si>
    <t>Katja</t>
  </si>
  <si>
    <t>Schmidt</t>
  </si>
  <si>
    <t>Christiane</t>
  </si>
  <si>
    <t>HSG DHfK Leipzig 1</t>
  </si>
  <si>
    <t>Ritter</t>
  </si>
  <si>
    <t>Christoph</t>
  </si>
  <si>
    <t>Strick</t>
  </si>
  <si>
    <t>Oliver</t>
  </si>
  <si>
    <t>Scholz</t>
  </si>
  <si>
    <t>Tom</t>
  </si>
  <si>
    <t>Reissig</t>
  </si>
  <si>
    <t>Benny</t>
  </si>
  <si>
    <t>Hendrich</t>
  </si>
  <si>
    <t>Sven</t>
  </si>
  <si>
    <t>Sadlau</t>
  </si>
  <si>
    <t>Finck</t>
  </si>
  <si>
    <t>Axel</t>
  </si>
  <si>
    <t>Geissler</t>
  </si>
  <si>
    <t>Steffen</t>
  </si>
  <si>
    <t>Bayger</t>
  </si>
  <si>
    <t>Jenny</t>
  </si>
  <si>
    <t>Seliger</t>
  </si>
  <si>
    <t>Lisa</t>
  </si>
  <si>
    <t>Grohmann</t>
  </si>
  <si>
    <t>Anja</t>
  </si>
  <si>
    <t>Pretzsch</t>
  </si>
  <si>
    <t>Candida</t>
  </si>
  <si>
    <t>Gesa</t>
  </si>
  <si>
    <t>Antonia</t>
  </si>
  <si>
    <t>Miosga</t>
  </si>
  <si>
    <t>Caroline</t>
  </si>
  <si>
    <t>Jäger</t>
  </si>
  <si>
    <t>Elisabeth</t>
  </si>
  <si>
    <t>Testverein</t>
  </si>
  <si>
    <t>Hallen</t>
  </si>
  <si>
    <t>x</t>
  </si>
  <si>
    <t>Gastmannschaft (GM)</t>
  </si>
  <si>
    <t>Schiedsrichter 1</t>
  </si>
  <si>
    <t>Schiedsrichter 2</t>
  </si>
  <si>
    <t>Eintreffzeit</t>
  </si>
  <si>
    <t>Datum / offizielle Anfangszeit</t>
  </si>
  <si>
    <t>Zeit</t>
  </si>
  <si>
    <t>Ja</t>
  </si>
  <si>
    <t>Nein</t>
  </si>
  <si>
    <t>Kontrollpunkt, Aufgabe, Frage</t>
  </si>
  <si>
    <t>-60 min</t>
  </si>
  <si>
    <t>Ist die Halle geöffnet?</t>
  </si>
  <si>
    <t>-60 bis</t>
  </si>
  <si>
    <t>-30 min</t>
  </si>
  <si>
    <t>Nein? =&gt; SPB / Ja? =&gt; SPB     bedeutet Eintrag in den Spielbericht bei entsprechender Antwort</t>
  </si>
  <si>
    <t>Nein?=&gt; SPB</t>
  </si>
  <si>
    <t>Hat die HM die Schiedsrichterkosten (25 € Aufwandsentschädigung und 0,30 € pro</t>
  </si>
  <si>
    <t>gefahrenen km) vor dem Spiel erstattet</t>
  </si>
  <si>
    <t>Wird por Mannschaft je ein Feld zum Einschlagen geöffnet?</t>
  </si>
  <si>
    <t>Abnahme der Mindestanforderungen ist die Halle mängelfrei?</t>
  </si>
  <si>
    <t>Hat die HM ihre Mannschaftsaufstellung abgegeben?</t>
  </si>
  <si>
    <t>Hat die GM ihre Mannschaftsaufstellung abgegeben?</t>
  </si>
  <si>
    <t>Falls Nein: Abgabe</t>
  </si>
  <si>
    <t xml:space="preserve">  -  vor offizieller Anfangszeit &gt; Spielbeginn umgehend bzw. zum offiziellen Zeitpunkt</t>
  </si>
  <si>
    <t xml:space="preserve">  -  1-30 min nach offizieller Anfangszeit &gt; Spielbeginn umgehend</t>
  </si>
  <si>
    <t xml:space="preserve">  -  30-90 nach offiieller Anfangszeit &gt; Spielbeginn umgehend</t>
  </si>
  <si>
    <t>und nur nach Wunsch &amp; Protestverzicht beider Mannschaften</t>
  </si>
  <si>
    <t>0 min</t>
  </si>
  <si>
    <t>Sind im Moment der Abgabe der mannschaftsaufstellung…</t>
  </si>
  <si>
    <t>… alle aufgeführten Spieler der HM anwesend und Spielbereit?</t>
  </si>
  <si>
    <t>… alle aufgeführten Spieler der GM anwesend und Spielbereit?</t>
  </si>
  <si>
    <t>Ist jeder der aufgeführten Spieler für maximal zwei Spiele in unterschiedlichen Disziplinen</t>
  </si>
  <si>
    <t>gemeldet?</t>
  </si>
  <si>
    <t>Falls Nein: Sofortige Korrektur durch den Mannschaftsführer.</t>
  </si>
  <si>
    <t>mit Uhrzeit auf dem Spielberichtsbogen.</t>
  </si>
  <si>
    <t>Identifikation der Spieler mittels Spielerpaß, Personalausweis, Führerschein…</t>
  </si>
  <si>
    <t>Eintragen der Mannschaftsaufstellungen in den Spielberichtsbogen</t>
  </si>
  <si>
    <t>Publizieren der Mannschaftsaufstellungen</t>
  </si>
  <si>
    <t>Sind Schiedsricherzettel, Unterlagen und Stifte von HM gestellt?</t>
  </si>
  <si>
    <t>Balltest und Ballvorrat überprüfen (Ballsorte erlaubt?)</t>
  </si>
  <si>
    <t>Schiedsrichterzettel vorausfüllen</t>
  </si>
  <si>
    <t>Sich um Linienrichter kümmern. Stellt die HM Linienrichter ab?</t>
  </si>
  <si>
    <t>Mit der Halle vertraut machen. Entscheidungen zu Deckenberührung</t>
  </si>
  <si>
    <t>Reguläre Spielreihenfolge: HD1, DD, HD2, HE1, DE, MX, HE2, HE3</t>
  </si>
  <si>
    <t>Bei Kollisionen und zu langen Pausen alternative Reihenfolge überlegen.</t>
  </si>
  <si>
    <t>Präsentation der beiden Mannschaten und Schiedsrichter</t>
  </si>
  <si>
    <t>Bekantgabe der Entscheidungen zwecks Deckenberührung</t>
  </si>
  <si>
    <t>Treten beide Mannschaften in absolut einheitlicher Spielkleidung an und wechseln diese</t>
  </si>
  <si>
    <t>nichts bis zum Ende des Spiels? Ausnahmen:</t>
  </si>
  <si>
    <t xml:space="preserve">  -  farbliche Abstimmung von Damen und Herren in Nuancen</t>
  </si>
  <si>
    <t xml:space="preserve">  -  faus Hygienegründen gewechselte Kleidung darf minimal abweichen , z.B. in Streifenfarbe</t>
  </si>
  <si>
    <t>Ja? =&gt; SPB</t>
  </si>
  <si>
    <t>Wettkampf</t>
  </si>
  <si>
    <t>Wurde die Spielreihenfolge zwecks Zeitersparnis (nur durch die SR!) abgeändert?</t>
  </si>
  <si>
    <t>Die HM und die GM haben hiergegen kein Einspruchsrecht und dürfen die Spielreihenfolge</t>
  </si>
  <si>
    <t>nicht abändern. Geschah dies dennoch?</t>
  </si>
  <si>
    <t>Wurde ein Spieler verwarnt, mit Fehler belegt oder disqualifiziert?</t>
  </si>
  <si>
    <t>Falls Disqualifikation:</t>
  </si>
  <si>
    <t>Spielwertung: 0-21 0-21, genau wie folgende Spiele dieses Spielers</t>
  </si>
  <si>
    <t>Gab ein Spieler wegen Verletzung auf?</t>
  </si>
  <si>
    <t>Falls Ja:</t>
  </si>
  <si>
    <t>Spielwertung: als ob der Gegner alle restlichen Punkte gemacht hätte.</t>
  </si>
  <si>
    <t>Einwechslung des Ersatzspielers?</t>
  </si>
  <si>
    <t>Wurden Ersatzspieler (nur Ersatz für nichtdisqualifizierte Person) eingewechselt? Dies ist</t>
  </si>
  <si>
    <t>nur bis zum offiziellen Aufruf gestattet.</t>
  </si>
  <si>
    <t>Jeder Spieler hat 20 Minuten bis zum nächsten Aufruf Pause</t>
  </si>
  <si>
    <t>Spielende</t>
  </si>
  <si>
    <t>Spielendzeit, Gewinner, Namen der Schiedsrichter, Ergebnisse in den Spielbericht eintragen</t>
  </si>
  <si>
    <t>Unterschriften von HM und GM einholen, dann selber unterschreiben</t>
  </si>
  <si>
    <t>SPB zusammen mit Mindesanforderungsprüfzettel (falls erforderlich) an Heimverein abgeben</t>
  </si>
  <si>
    <t>Ergebnis</t>
  </si>
  <si>
    <t>Heimmanschaft (HM)</t>
  </si>
  <si>
    <t>Unterschriften beider Schiedsrichter</t>
  </si>
  <si>
    <t>-</t>
  </si>
  <si>
    <t>Auswertung</t>
  </si>
  <si>
    <t>ToDo</t>
  </si>
  <si>
    <t>Grundeinstellungen</t>
  </si>
  <si>
    <t>Fahrplan</t>
  </si>
  <si>
    <t>Mindestanforderungen</t>
  </si>
  <si>
    <t>Mannschaftsaufstellung</t>
  </si>
  <si>
    <t>Spielbericht</t>
  </si>
  <si>
    <t>Schiedsrichterzettel</t>
  </si>
  <si>
    <t>Spielbericht abgeschlossen</t>
  </si>
  <si>
    <t>Mindestanforderungen und Empfehlungen für die Regionalliga</t>
  </si>
  <si>
    <t>--- Anlage an den Spielbericht ---</t>
  </si>
  <si>
    <t>Begegnung:</t>
  </si>
  <si>
    <t>Fehlt</t>
  </si>
  <si>
    <t>Vorhanden</t>
  </si>
  <si>
    <t>Netze in technisch und maßgerecht einwandfreiem Zustand</t>
  </si>
  <si>
    <t>Eine ausreichende Anzahl anerkannter Federbälle</t>
  </si>
  <si>
    <t>Zugelassene Federballsorten</t>
  </si>
  <si>
    <t>Federballmarke nicht Aufgeführt</t>
  </si>
  <si>
    <t>Tribüne oder mind. 25 sonstige Sitzmöglichkeiten für Zuschauer</t>
  </si>
  <si>
    <t>Zwischenstandsanzeige für Wettkampf</t>
  </si>
  <si>
    <t>2 Zähltafeln ( Spielstandsanzeigen)</t>
  </si>
  <si>
    <t>Bedienung der Zähltafeln</t>
  </si>
  <si>
    <t>Organisationstisch in der Halle</t>
  </si>
  <si>
    <t>Stühle im Organisationsbereich</t>
  </si>
  <si>
    <t>Spielberichtsformular-Block mit Druchschlagpapier</t>
  </si>
  <si>
    <t>Schreibunterlagen für Schiedsrichter</t>
  </si>
  <si>
    <t>Schreibgeräte</t>
  </si>
  <si>
    <t>Mappen mit Manschaftsunterlagen</t>
  </si>
  <si>
    <t>Gruppenspielordnung</t>
  </si>
  <si>
    <t>Badminton-Spielregeln und "Anweisungen für Technsiche Offizielle"</t>
  </si>
  <si>
    <t>Schiedsrichterstuhl an jedem Spielfeld</t>
  </si>
  <si>
    <t>Stühle für Linienrichter in ausreichender Zahl</t>
  </si>
  <si>
    <t>Sind alle obigen Punkte erfüllt , sog genügt im Spielbericht der Hinweis: "Mindestanforderungen erfüllt". Bei Mängeln ist im Spielbericht der Hinweis " Mindestanforderungen nicht erfüllt zusammen mit Aufführung der Mängel einzutragen.</t>
  </si>
  <si>
    <t>2 Spielfelder, entsprechend Regel 1</t>
  </si>
  <si>
    <t>Empfehlungen</t>
  </si>
  <si>
    <t>Lautsprecheranlage</t>
  </si>
  <si>
    <t>gekennzeichnete Aufenthaltsbereiche für Gastmannschaft</t>
  </si>
  <si>
    <t>gekennzeichnete Aufenthaltsbereiche für Heimmanschaft</t>
  </si>
  <si>
    <t>abschließbare Umkleideräume</t>
  </si>
  <si>
    <t>Papierkörbe / Müllbeutel</t>
  </si>
  <si>
    <t>Blumenschmuck / Fahnen</t>
  </si>
  <si>
    <t>Plakate</t>
  </si>
  <si>
    <t>Umschlag an den Staffelleiter</t>
  </si>
  <si>
    <t>Vormusik</t>
  </si>
  <si>
    <t>Werbereiter / Werbeflächen</t>
  </si>
  <si>
    <t>Theke mit Kafee und Kuchen und Sonstigem</t>
  </si>
  <si>
    <t xml:space="preserve">Kasse </t>
  </si>
  <si>
    <t>Eintrittskarten</t>
  </si>
  <si>
    <t>zugängliches Telefon in der Halle</t>
  </si>
  <si>
    <t>Unterschrift des Schiedsrichters</t>
  </si>
  <si>
    <t>Babolat</t>
  </si>
  <si>
    <t>Babolat 1</t>
  </si>
  <si>
    <t>Fly Badminton</t>
  </si>
  <si>
    <t>Friendship</t>
  </si>
  <si>
    <t>Premium</t>
  </si>
  <si>
    <t>Apex 100</t>
  </si>
  <si>
    <t>Apex 200</t>
  </si>
  <si>
    <t>RSL</t>
  </si>
  <si>
    <t>Tourney No. 1</t>
  </si>
  <si>
    <t>Siam Sports</t>
  </si>
  <si>
    <t>YangYang 202</t>
  </si>
  <si>
    <t>Sport-Klauer</t>
  </si>
  <si>
    <t>Dynamic 200</t>
  </si>
  <si>
    <t>Trump</t>
  </si>
  <si>
    <t xml:space="preserve">Yellow </t>
  </si>
  <si>
    <t>Victor</t>
  </si>
  <si>
    <t>Champion No. 1</t>
  </si>
  <si>
    <t>GoldChampion</t>
  </si>
  <si>
    <t>Master ACE</t>
  </si>
  <si>
    <t>Yonnex</t>
  </si>
  <si>
    <t>AS30</t>
  </si>
  <si>
    <t>AS40</t>
  </si>
  <si>
    <t>AS50</t>
  </si>
  <si>
    <t>Liga:</t>
  </si>
  <si>
    <t xml:space="preserve">Uhr: </t>
  </si>
  <si>
    <t>Heim:</t>
  </si>
  <si>
    <t>Gast:</t>
  </si>
  <si>
    <t>Spielort:</t>
  </si>
  <si>
    <t>Referee:</t>
  </si>
  <si>
    <t>Schiedsrichter 1:</t>
  </si>
  <si>
    <t>Schiedsrichter 2:</t>
  </si>
  <si>
    <t>Ballmarke:</t>
  </si>
  <si>
    <t>Referee</t>
  </si>
  <si>
    <t xml:space="preserve">- </t>
  </si>
  <si>
    <t>Turnier</t>
  </si>
  <si>
    <t>Saison:</t>
  </si>
  <si>
    <t>Saison</t>
  </si>
  <si>
    <t>2015/16</t>
  </si>
  <si>
    <t>Nr.</t>
  </si>
  <si>
    <t>Disziplin</t>
  </si>
  <si>
    <t>Spieler</t>
  </si>
  <si>
    <t>Spiele</t>
  </si>
  <si>
    <t>Punkte</t>
  </si>
  <si>
    <t>Sätze</t>
  </si>
  <si>
    <t>1. Satz</t>
  </si>
  <si>
    <t>2. Satz</t>
  </si>
  <si>
    <t>3. Satz</t>
  </si>
  <si>
    <t>1. HD</t>
  </si>
  <si>
    <t>Ersatzspieler Eingewechelt</t>
  </si>
  <si>
    <t>:</t>
  </si>
  <si>
    <t>2. HD</t>
  </si>
  <si>
    <t>MX</t>
  </si>
  <si>
    <t>1. HE</t>
  </si>
  <si>
    <t>2. HE</t>
  </si>
  <si>
    <t>3. HE</t>
  </si>
  <si>
    <t>Mannschaftsführerbesprechung</t>
  </si>
  <si>
    <t>1. Spielbericht überprüfen</t>
  </si>
  <si>
    <t>2. Spielreihenfolge festlegen</t>
  </si>
  <si>
    <t>3. Spielbericht für die Mannschaftsführer Drucken</t>
  </si>
  <si>
    <t>Endergebnis:</t>
  </si>
  <si>
    <t>Sieger:</t>
  </si>
  <si>
    <t>Spielende:</t>
  </si>
  <si>
    <t>Die Richtigkeit wird bescheinigt. Das Spiel hat unter Beachtung der zuständigen Spielordnung stattgefunden. Die Spielberechtigungen wurden gegenseitig geprüft.</t>
  </si>
  <si>
    <t>Nichtstammspieler</t>
  </si>
  <si>
    <t>Eingesetzt</t>
  </si>
  <si>
    <t xml:space="preserve">Die Mindestanforderungen wurden </t>
  </si>
  <si>
    <t>erfüllt</t>
  </si>
  <si>
    <t>nicht erfüllt &gt; siehe Anlage</t>
  </si>
  <si>
    <t>nicht erfüllt</t>
  </si>
  <si>
    <t>Besondere Vorkomnisse:</t>
  </si>
  <si>
    <t>Eingesetzte Nichtstammspieler</t>
  </si>
  <si>
    <t>Stadt</t>
  </si>
  <si>
    <t>Nürnberg</t>
  </si>
  <si>
    <t>Leipzig</t>
  </si>
  <si>
    <t>Referee / Verantwortlicher Leiter</t>
  </si>
  <si>
    <t>Mannschaftsführer Heimverein</t>
  </si>
  <si>
    <t>Mannschaftsführer Gastverein</t>
  </si>
  <si>
    <t>Schiedsrichterzettel gedruckt</t>
  </si>
  <si>
    <t>4. Nach der Mannschaftsführerbesprechung die SR-Zettel Drucken</t>
  </si>
  <si>
    <t>Spiel:</t>
  </si>
  <si>
    <t>Beginn</t>
  </si>
  <si>
    <t>Ende</t>
  </si>
  <si>
    <t>Satzergebnis</t>
  </si>
  <si>
    <t>Feld:</t>
  </si>
  <si>
    <t>Turnier:</t>
  </si>
  <si>
    <t>1.</t>
  </si>
  <si>
    <t>2.</t>
  </si>
  <si>
    <t>3.</t>
  </si>
  <si>
    <t xml:space="preserve">Schiedsrichter </t>
  </si>
  <si>
    <t>5. Nach Spielende Spielbericht vollständig ausfüllen</t>
  </si>
  <si>
    <t>gefahrene 
KM</t>
  </si>
  <si>
    <t>Spielleitung am:</t>
  </si>
  <si>
    <t>in</t>
  </si>
  <si>
    <t>Heimverein</t>
  </si>
  <si>
    <t>Gastverein</t>
  </si>
  <si>
    <t>vs.</t>
  </si>
  <si>
    <t>Aufwandsentschädigung:</t>
  </si>
  <si>
    <t>x 0,30 €/km</t>
  </si>
  <si>
    <t>Reisekosten (gefahrene km):</t>
  </si>
  <si>
    <t>Vor und Zuname des Schiedsrichters</t>
  </si>
  <si>
    <t>Gesamt :</t>
  </si>
  <si>
    <t>Unterschrift Schiedsrichter</t>
  </si>
  <si>
    <t>Sebastian</t>
  </si>
  <si>
    <t>Düster</t>
  </si>
  <si>
    <t>TSV Neubiberg-Ottobrunn 2</t>
  </si>
  <si>
    <t>Placzek</t>
  </si>
  <si>
    <t>Benjamin</t>
  </si>
  <si>
    <t>Specht</t>
  </si>
  <si>
    <t>Fabian</t>
  </si>
  <si>
    <t>Scheiel</t>
  </si>
  <si>
    <t>Patrick</t>
  </si>
  <si>
    <t>Hauber</t>
  </si>
  <si>
    <t>Michael</t>
  </si>
  <si>
    <t>Dierks</t>
  </si>
  <si>
    <t>Courage</t>
  </si>
  <si>
    <t>Timo</t>
  </si>
  <si>
    <t>Normann</t>
  </si>
  <si>
    <t>Simon</t>
  </si>
  <si>
    <t>Fuchs</t>
  </si>
  <si>
    <t>Andreas</t>
  </si>
  <si>
    <t>Schnurrer</t>
  </si>
  <si>
    <t>Nicole</t>
  </si>
  <si>
    <t>Roth</t>
  </si>
  <si>
    <t>Verena</t>
  </si>
  <si>
    <t>Krug</t>
  </si>
  <si>
    <t>Beil</t>
  </si>
  <si>
    <t>Eberl</t>
  </si>
  <si>
    <t>Tanja</t>
  </si>
  <si>
    <t>Reindl</t>
  </si>
  <si>
    <t>Judith</t>
  </si>
  <si>
    <t>Halle des TSV Neubiberg</t>
  </si>
  <si>
    <t>München</t>
  </si>
  <si>
    <t>SG Metzingen/Tübingen 1</t>
  </si>
  <si>
    <t>Kramer</t>
  </si>
  <si>
    <t>Nuß</t>
  </si>
  <si>
    <t>Sommer</t>
  </si>
  <si>
    <t>Philip</t>
  </si>
  <si>
    <t>Joselal</t>
  </si>
  <si>
    <t>Joem</t>
  </si>
  <si>
    <t>Julian</t>
  </si>
  <si>
    <t>Single</t>
  </si>
  <si>
    <t>Ortinau</t>
  </si>
  <si>
    <t>Ralf</t>
  </si>
  <si>
    <t>Hagemeister</t>
  </si>
  <si>
    <t>Matt</t>
  </si>
  <si>
    <t>Stefanie</t>
  </si>
  <si>
    <t>Lux</t>
  </si>
  <si>
    <t>Corinna</t>
  </si>
  <si>
    <t>Burkhardt</t>
  </si>
  <si>
    <t>Janina</t>
  </si>
  <si>
    <t>Kiefer</t>
  </si>
  <si>
    <t>Bartsch</t>
  </si>
  <si>
    <t>Valérie</t>
  </si>
  <si>
    <t>Geisel</t>
  </si>
  <si>
    <t>Jasmin</t>
  </si>
  <si>
    <t>Knauth</t>
  </si>
  <si>
    <t>Claudia</t>
  </si>
  <si>
    <t>Leitner</t>
  </si>
  <si>
    <t>Natalie</t>
  </si>
  <si>
    <t>Schönbeinhalle</t>
  </si>
  <si>
    <t>Metzingen</t>
  </si>
  <si>
    <t>Thomas</t>
  </si>
  <si>
    <t>Engl</t>
  </si>
  <si>
    <t>Tobias</t>
  </si>
  <si>
    <t>Dell</t>
  </si>
  <si>
    <t>Deschle</t>
  </si>
  <si>
    <t>Daniel</t>
  </si>
  <si>
    <t>Richter</t>
  </si>
  <si>
    <t>Martin</t>
  </si>
  <si>
    <t>Lechner</t>
  </si>
  <si>
    <t>Wolfgang</t>
  </si>
  <si>
    <t>Riedl</t>
  </si>
  <si>
    <t>Oesterle</t>
  </si>
  <si>
    <t>Draxler</t>
  </si>
  <si>
    <t>Christian</t>
  </si>
  <si>
    <t>Heufelder</t>
  </si>
  <si>
    <t>Freisinger</t>
  </si>
  <si>
    <t>Manfred</t>
  </si>
  <si>
    <t>Hartmann</t>
  </si>
  <si>
    <t>Schmid</t>
  </si>
  <si>
    <t>Klein</t>
  </si>
  <si>
    <t>Susanne</t>
  </si>
  <si>
    <t>Ruch</t>
  </si>
  <si>
    <t>Tusch</t>
  </si>
  <si>
    <t>Robert</t>
  </si>
  <si>
    <t>Egert</t>
  </si>
  <si>
    <t>Glaowin</t>
  </si>
  <si>
    <t>Sartoris</t>
  </si>
  <si>
    <t>Stephan</t>
  </si>
  <si>
    <t>Schindler</t>
  </si>
  <si>
    <t>Cammertoni</t>
  </si>
  <si>
    <t>Moritz</t>
  </si>
  <si>
    <t>Zhang</t>
  </si>
  <si>
    <t>Martin Ze - Han</t>
  </si>
  <si>
    <t>Alfaro</t>
  </si>
  <si>
    <t>Yan</t>
  </si>
  <si>
    <t>Renninger</t>
  </si>
  <si>
    <t>Franz</t>
  </si>
  <si>
    <t>1.BV Bamberg 1</t>
  </si>
  <si>
    <t>Burbidge</t>
  </si>
  <si>
    <t>Evie</t>
  </si>
  <si>
    <t>Mia</t>
  </si>
  <si>
    <t>Kabiri</t>
  </si>
  <si>
    <t>Sabereh</t>
  </si>
  <si>
    <t>Sandke</t>
  </si>
  <si>
    <t>Sylvia</t>
  </si>
  <si>
    <t>Chaudhuri</t>
  </si>
  <si>
    <t>Helen</t>
  </si>
  <si>
    <t>Pottler</t>
  </si>
  <si>
    <t>Barbara</t>
  </si>
  <si>
    <t>Pegios</t>
  </si>
  <si>
    <t>Anna</t>
  </si>
  <si>
    <t>TSV Dresden 1</t>
  </si>
  <si>
    <t>Prinz</t>
  </si>
  <si>
    <t>Borsdorf</t>
  </si>
  <si>
    <t>Till</t>
  </si>
  <si>
    <t>Schröder</t>
  </si>
  <si>
    <t>Alexander</t>
  </si>
  <si>
    <t>Bachmann</t>
  </si>
  <si>
    <t>Marcel</t>
  </si>
  <si>
    <t>Teichmann</t>
  </si>
  <si>
    <t>Eric</t>
  </si>
  <si>
    <t>Bickel</t>
  </si>
  <si>
    <t>Kunert</t>
  </si>
  <si>
    <t>Hartig</t>
  </si>
  <si>
    <t>Jens</t>
  </si>
  <si>
    <t>Wolf</t>
  </si>
  <si>
    <t>Daniela</t>
  </si>
  <si>
    <t>Hübner</t>
  </si>
  <si>
    <t>Sahánková</t>
  </si>
  <si>
    <t>Jana</t>
  </si>
  <si>
    <t>Schmitt</t>
  </si>
  <si>
    <t>Johanna</t>
  </si>
  <si>
    <t>Scheithauer</t>
  </si>
  <si>
    <t>Linda</t>
  </si>
  <si>
    <t>Pusch</t>
  </si>
  <si>
    <t>Frances</t>
  </si>
  <si>
    <t>Fröhlich</t>
  </si>
  <si>
    <t>Mühlbach</t>
  </si>
  <si>
    <t>Manon</t>
  </si>
  <si>
    <t>SG Gittersee 1</t>
  </si>
  <si>
    <t>Wendt</t>
  </si>
  <si>
    <t>Jenke</t>
  </si>
  <si>
    <t>Lutz</t>
  </si>
  <si>
    <t>Dubb</t>
  </si>
  <si>
    <t>Ronny</t>
  </si>
  <si>
    <t>Delgado-Valdes</t>
  </si>
  <si>
    <t>Emanuel</t>
  </si>
  <si>
    <t>Höppner</t>
  </si>
  <si>
    <t>Zoschke</t>
  </si>
  <si>
    <t>Bram</t>
  </si>
  <si>
    <t>Ludwig</t>
  </si>
  <si>
    <t>Jugel</t>
  </si>
  <si>
    <t>Willi</t>
  </si>
  <si>
    <t>Puchta</t>
  </si>
  <si>
    <t>Isabelle</t>
  </si>
  <si>
    <t>Bartholomäus</t>
  </si>
  <si>
    <t>Sandra</t>
  </si>
  <si>
    <t>Kühne</t>
  </si>
  <si>
    <t>Maria</t>
  </si>
  <si>
    <t>Zdzieblik</t>
  </si>
  <si>
    <t>Anne</t>
  </si>
  <si>
    <t>Todt</t>
  </si>
  <si>
    <t>Franziska</t>
  </si>
  <si>
    <t>Rötzer</t>
  </si>
  <si>
    <t>Grit</t>
  </si>
  <si>
    <t>Hoff</t>
  </si>
  <si>
    <t>TV Marktheidenfeld 1</t>
  </si>
  <si>
    <t>Tim</t>
  </si>
  <si>
    <t>Rudzinski</t>
  </si>
  <si>
    <t>Jan</t>
  </si>
  <si>
    <t>Schäffer</t>
  </si>
  <si>
    <t>Pröstler</t>
  </si>
  <si>
    <t>Matthias</t>
  </si>
  <si>
    <t>Grün</t>
  </si>
  <si>
    <t>Jonas</t>
  </si>
  <si>
    <t>Burkhart</t>
  </si>
  <si>
    <t>Piehl</t>
  </si>
  <si>
    <t>Heiko</t>
  </si>
  <si>
    <t>Keil</t>
  </si>
  <si>
    <t>Jule</t>
  </si>
  <si>
    <t>Ramona</t>
  </si>
  <si>
    <t>Lehmann</t>
  </si>
  <si>
    <t>Redelbach</t>
  </si>
  <si>
    <t>Theresa</t>
  </si>
  <si>
    <t>Marion</t>
  </si>
  <si>
    <t>Eva</t>
  </si>
  <si>
    <t>Schreck</t>
  </si>
  <si>
    <t>Eva Maria</t>
  </si>
  <si>
    <t>TV Unterdürrbach 1</t>
  </si>
  <si>
    <t>Faust</t>
  </si>
  <si>
    <t>Philipp</t>
  </si>
  <si>
    <t>Hippold</t>
  </si>
  <si>
    <t>Bastian</t>
  </si>
  <si>
    <t>Kai</t>
  </si>
  <si>
    <t>Fleck</t>
  </si>
  <si>
    <t>Dinnebier</t>
  </si>
  <si>
    <t>Spitzer</t>
  </si>
  <si>
    <t>Thimm</t>
  </si>
  <si>
    <t>Leucht</t>
  </si>
  <si>
    <t>Maximilian</t>
  </si>
  <si>
    <t>Michel</t>
  </si>
  <si>
    <t>Rasche</t>
  </si>
  <si>
    <t>Engelke</t>
  </si>
  <si>
    <t>Töpfer</t>
  </si>
  <si>
    <t>Senja</t>
  </si>
  <si>
    <t>Sagstetter</t>
  </si>
  <si>
    <t>Katharina</t>
  </si>
  <si>
    <t>Thoma</t>
  </si>
  <si>
    <t>Dreifachturnhalle Georgendamm</t>
  </si>
  <si>
    <t>Bamberg</t>
  </si>
  <si>
    <t>TH des Vitzthum Gymnasium</t>
  </si>
  <si>
    <t>Dresden</t>
  </si>
  <si>
    <t>Sph. Der 70. Grundschule</t>
  </si>
  <si>
    <t>Schiedsrichterabrechnung / Quittung</t>
  </si>
  <si>
    <t>Hans-Wilhelm-Renkoff-Halle</t>
  </si>
  <si>
    <t>Marktheidenfeld</t>
  </si>
  <si>
    <t>Halle des TV Unterdürrbach</t>
  </si>
  <si>
    <t>Würzburg</t>
  </si>
  <si>
    <t>Neubiberg</t>
  </si>
  <si>
    <t>TSG Augsburg 1</t>
  </si>
  <si>
    <t>Fiedler</t>
  </si>
  <si>
    <t>Robin</t>
  </si>
  <si>
    <t>Knoll</t>
  </si>
  <si>
    <t>Velikov</t>
  </si>
  <si>
    <t>Danail</t>
  </si>
  <si>
    <t>Pollner</t>
  </si>
  <si>
    <t>Flemming</t>
  </si>
  <si>
    <t>Mayer</t>
  </si>
  <si>
    <t>Kim</t>
  </si>
  <si>
    <t>Ruhnau</t>
  </si>
  <si>
    <t>Grosschadl</t>
  </si>
  <si>
    <t>Hamm</t>
  </si>
  <si>
    <t>Heike</t>
  </si>
  <si>
    <t>Zimmermann</t>
  </si>
  <si>
    <t>Paquee</t>
  </si>
  <si>
    <t>Vanessa</t>
  </si>
  <si>
    <t>Winter</t>
  </si>
  <si>
    <t>Carmen</t>
  </si>
  <si>
    <t>Kempter</t>
  </si>
  <si>
    <t>Reif</t>
  </si>
  <si>
    <t>Kathrin</t>
  </si>
  <si>
    <t>Hohm</t>
  </si>
  <si>
    <t>Christine</t>
  </si>
  <si>
    <t>Böckhoff</t>
  </si>
  <si>
    <t>Alice</t>
  </si>
  <si>
    <t>TSG Dossenheim 1</t>
  </si>
  <si>
    <t>Schade</t>
  </si>
  <si>
    <t>Konrad</t>
  </si>
  <si>
    <t>Beutel</t>
  </si>
  <si>
    <t>Feldmeyer</t>
  </si>
  <si>
    <t>Nils</t>
  </si>
  <si>
    <t>Weil</t>
  </si>
  <si>
    <t>Frederik</t>
  </si>
  <si>
    <t>Rank</t>
  </si>
  <si>
    <t>Christopher</t>
  </si>
  <si>
    <t>Arndt</t>
  </si>
  <si>
    <t>Béla</t>
  </si>
  <si>
    <t>Marar</t>
  </si>
  <si>
    <t>Abhijit</t>
  </si>
  <si>
    <t>Arns</t>
  </si>
  <si>
    <t>Kieffer</t>
  </si>
  <si>
    <t>Karin</t>
  </si>
  <si>
    <t>Nolze</t>
  </si>
  <si>
    <t>Stella</t>
  </si>
  <si>
    <t>TSV Freystadt 2</t>
  </si>
  <si>
    <t>Gerberich</t>
  </si>
  <si>
    <t>Hannes</t>
  </si>
  <si>
    <t>Maierhofer</t>
  </si>
  <si>
    <t>Waffler</t>
  </si>
  <si>
    <t>Krämer</t>
  </si>
  <si>
    <t>Rishi</t>
  </si>
  <si>
    <t>Pistorius</t>
  </si>
  <si>
    <t>Kick</t>
  </si>
  <si>
    <t>Felix</t>
  </si>
  <si>
    <t>Haas</t>
  </si>
  <si>
    <t>Kaiser</t>
  </si>
  <si>
    <t>Reinhardt</t>
  </si>
  <si>
    <t xml:space="preserve">Jäger </t>
  </si>
  <si>
    <t>Annabella</t>
  </si>
  <si>
    <t>Jötten</t>
  </si>
  <si>
    <t xml:space="preserve">Laila </t>
  </si>
  <si>
    <t>Seele</t>
  </si>
  <si>
    <t>Spies</t>
  </si>
  <si>
    <t>Bezold</t>
  </si>
  <si>
    <t>Boss</t>
  </si>
  <si>
    <t>Götz</t>
  </si>
  <si>
    <t>VfB Friedrichshafen 1</t>
  </si>
  <si>
    <t>Björn</t>
  </si>
  <si>
    <t>Baier</t>
  </si>
  <si>
    <t>Wolf-Dieter</t>
  </si>
  <si>
    <t>Arenz</t>
  </si>
  <si>
    <t>Herkner</t>
  </si>
  <si>
    <t>Scheyerle</t>
  </si>
  <si>
    <t>Hofmann</t>
  </si>
  <si>
    <t>Schreiber</t>
  </si>
  <si>
    <t>Ronald</t>
  </si>
  <si>
    <t>Grittner</t>
  </si>
  <si>
    <t>Nathalie</t>
  </si>
  <si>
    <t>Schumacher</t>
  </si>
  <si>
    <t>Bettina</t>
  </si>
  <si>
    <t>Igel</t>
  </si>
  <si>
    <t>Magnus</t>
  </si>
  <si>
    <t>Lara</t>
  </si>
  <si>
    <t>Otte</t>
  </si>
  <si>
    <t>Ina</t>
  </si>
  <si>
    <t>Grollmuss</t>
  </si>
  <si>
    <t>Sina</t>
  </si>
  <si>
    <t>TSV Neuhausen-Nymphenburg 2</t>
  </si>
  <si>
    <t>Heumann</t>
  </si>
  <si>
    <t>Yakauchuk</t>
  </si>
  <si>
    <t>Yauheni</t>
  </si>
  <si>
    <t>Dubs</t>
  </si>
  <si>
    <t>Konstantin</t>
  </si>
  <si>
    <t>Beier</t>
  </si>
  <si>
    <t>Patz</t>
  </si>
  <si>
    <t>Geisenhofer</t>
  </si>
  <si>
    <t>Müller</t>
  </si>
  <si>
    <t>Tran</t>
  </si>
  <si>
    <t>Chi Dat</t>
  </si>
  <si>
    <t>Oliwa</t>
  </si>
  <si>
    <t>Kunzmann</t>
  </si>
  <si>
    <t>Christina</t>
  </si>
  <si>
    <t>Willems</t>
  </si>
  <si>
    <t>Jessica</t>
  </si>
  <si>
    <t>Noergaard</t>
  </si>
  <si>
    <t>Lotte</t>
  </si>
  <si>
    <t>Oltersdorff</t>
  </si>
  <si>
    <t>Nicola</t>
  </si>
  <si>
    <t>Weigert</t>
  </si>
  <si>
    <t>Monika</t>
  </si>
  <si>
    <t>Ott</t>
  </si>
  <si>
    <t>Marlene</t>
  </si>
  <si>
    <t>Högger</t>
  </si>
  <si>
    <t>Alexandra</t>
  </si>
  <si>
    <t>BC Offenburg 1</t>
  </si>
  <si>
    <t>Dolan</t>
  </si>
  <si>
    <t>Jonathan</t>
  </si>
  <si>
    <t>Burger</t>
  </si>
  <si>
    <t>Lukas</t>
  </si>
  <si>
    <t>Discher</t>
  </si>
  <si>
    <t>Johannes</t>
  </si>
  <si>
    <t>Walldorf</t>
  </si>
  <si>
    <t>Esch</t>
  </si>
  <si>
    <t>Magee</t>
  </si>
  <si>
    <t>Jennie</t>
  </si>
  <si>
    <t>Walter</t>
  </si>
  <si>
    <t>Denise</t>
  </si>
  <si>
    <t>Sickinger</t>
  </si>
  <si>
    <t>Madita</t>
  </si>
  <si>
    <t>Wich</t>
  </si>
  <si>
    <t>Paloma</t>
  </si>
  <si>
    <t>Schilli</t>
  </si>
  <si>
    <t>Samira</t>
  </si>
  <si>
    <t>Simonot</t>
  </si>
  <si>
    <t>Sarah</t>
  </si>
  <si>
    <t>Turnhalle des TSG Augsburg</t>
  </si>
  <si>
    <t>Augsburg</t>
  </si>
  <si>
    <t>Jahnhalle</t>
  </si>
  <si>
    <t>Dossenheim</t>
  </si>
  <si>
    <t>Private Halle</t>
  </si>
  <si>
    <t>Bad Abbach</t>
  </si>
  <si>
    <t>VfB Sporthalle</t>
  </si>
  <si>
    <t>Friedrichshafen</t>
  </si>
  <si>
    <t>Sph. des TSV Neuhausen-Nymph.</t>
  </si>
  <si>
    <t>Sporthalle Nordwest</t>
  </si>
  <si>
    <t>Offenburg</t>
  </si>
  <si>
    <t>Vereine Süd</t>
  </si>
  <si>
    <t>Verein Ost</t>
  </si>
  <si>
    <t>Tatsächlicher Spielbeginn</t>
  </si>
  <si>
    <t>Weise, Dr.</t>
  </si>
  <si>
    <t>Halle</t>
  </si>
  <si>
    <t>Herr</t>
  </si>
  <si>
    <t>Eins</t>
  </si>
  <si>
    <t>Zwei</t>
  </si>
  <si>
    <t>Drei</t>
  </si>
  <si>
    <t>Vier</t>
  </si>
  <si>
    <t>Fünf</t>
  </si>
  <si>
    <t>Sechs</t>
  </si>
  <si>
    <t>Sieben</t>
  </si>
  <si>
    <t>Acht</t>
  </si>
  <si>
    <t>Dame</t>
  </si>
  <si>
    <t>Neun</t>
  </si>
  <si>
    <t>Zehn</t>
  </si>
  <si>
    <t>Elf</t>
  </si>
  <si>
    <t>Zwölf</t>
  </si>
  <si>
    <t>Dreizehn</t>
  </si>
  <si>
    <t>Vierzehn</t>
  </si>
  <si>
    <t>Fünfzehn</t>
  </si>
  <si>
    <t>Sechszehn</t>
  </si>
  <si>
    <t>Musterhalle</t>
  </si>
  <si>
    <t>Musterstadt</t>
  </si>
  <si>
    <t>15/16-1</t>
  </si>
  <si>
    <t>Release erste Testversion</t>
  </si>
  <si>
    <t>Version</t>
  </si>
  <si>
    <t>Änderungen</t>
  </si>
  <si>
    <t>15/16-2</t>
  </si>
  <si>
    <t>SP: Tatsächliche Anfangszeit hinzugefügt / MA: zahlen durch "x" ersetzt / GE: Auswahl der Vereine auf Staffel begrenzt / RL: eingabe Ranglisten vereinfacht</t>
  </si>
  <si>
    <t>n</t>
  </si>
  <si>
    <t>DD Prüfung</t>
  </si>
  <si>
    <t>1 HE</t>
  </si>
  <si>
    <t>2 HE</t>
  </si>
  <si>
    <t>3 HE</t>
  </si>
  <si>
    <t>Einzl Prüf.</t>
  </si>
  <si>
    <t>Ausw d</t>
  </si>
  <si>
    <t>Aus e</t>
  </si>
  <si>
    <t>Aus g</t>
  </si>
  <si>
    <t>Weigel</t>
  </si>
  <si>
    <t>Reitzner</t>
  </si>
  <si>
    <t>Nele</t>
  </si>
  <si>
    <t>Hümmer</t>
  </si>
  <si>
    <t>Stockmann</t>
  </si>
  <si>
    <t>König (geb.Tropf)</t>
  </si>
  <si>
    <t>De Bleeckere</t>
  </si>
  <si>
    <t>Liselot</t>
  </si>
  <si>
    <t>Schneider</t>
  </si>
  <si>
    <t>Silke</t>
  </si>
  <si>
    <t>Fulle</t>
  </si>
  <si>
    <t>Simone</t>
  </si>
  <si>
    <t>Lauber</t>
  </si>
  <si>
    <t>Hess</t>
  </si>
  <si>
    <t>Lea-Marie</t>
  </si>
  <si>
    <t>Bertoldo</t>
  </si>
  <si>
    <t>Teresa</t>
  </si>
  <si>
    <t>Gerstl</t>
  </si>
  <si>
    <t>Michele</t>
  </si>
  <si>
    <t>Welpi</t>
  </si>
  <si>
    <t>Welp</t>
  </si>
  <si>
    <t>15/16-3</t>
  </si>
  <si>
    <t>Auswahl ersatzspieler geändert.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</si>
</sst>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6" formatCode="#,##0\ &quot;€&quot;;[Red]\-#,##0\ &quot;€&quot;"/>
    <numFmt numFmtId="164" formatCode="0\ &quot;%&quot;"/>
    <numFmt numFmtId="165" formatCode="0\ &quot;€&quot;"/>
    <numFmt numFmtId="166" formatCode="[$-407]d/\ mmmm\ yyyy;@"/>
    <numFmt numFmtId="167" formatCode="0\ &quot;km&quot;"/>
    <numFmt numFmtId="168" formatCode="dd/mmmm/yyyy"/>
  </numFmts>
  <fonts count="2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name val="Calibri"/>
      <family val="2"/>
      <scheme val="minor"/>
    </font>
    <font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8.25"/>
      <color theme="1"/>
      <name val="Calibri"/>
      <family val="2"/>
      <scheme val="minor"/>
    </font>
    <font>
      <sz val="7.8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sz val="11"/>
      <color rgb="FF000000"/>
      <name val="Calibri"/>
      <family val="2"/>
    </font>
    <font>
      <sz val="28"/>
      <color theme="1"/>
      <name val="Calibri"/>
      <family val="2"/>
      <scheme val="minor"/>
    </font>
    <font>
      <b/>
      <sz val="11"/>
      <color rgb="FF000000"/>
      <name val="Calibri"/>
      <family val="2"/>
    </font>
    <font>
      <sz val="12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0000"/>
        <bgColor indexed="64"/>
      </patternFill>
    </fill>
  </fills>
  <borders count="7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/>
      <top/>
      <bottom style="dotted">
        <color auto="1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dotted">
        <color indexed="64"/>
      </bottom>
      <diagonal/>
    </border>
    <border>
      <left style="medium">
        <color indexed="64"/>
      </left>
      <right/>
      <top/>
      <bottom style="dotted">
        <color auto="1"/>
      </bottom>
      <diagonal/>
    </border>
    <border>
      <left/>
      <right/>
      <top style="dotted">
        <color auto="1"/>
      </top>
      <bottom style="thin">
        <color indexed="64"/>
      </bottom>
      <diagonal/>
    </border>
    <border>
      <left/>
      <right/>
      <top/>
      <bottom style="double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600">
    <xf numFmtId="0" fontId="0" fillId="0" borderId="0" xfId="0"/>
    <xf numFmtId="0" fontId="0" fillId="0" borderId="0" xfId="0" applyAlignment="1">
      <alignment horizontal="center"/>
    </xf>
    <xf numFmtId="0" fontId="0" fillId="0" borderId="0" xfId="0" applyProtection="1">
      <protection locked="0"/>
    </xf>
    <xf numFmtId="0" fontId="0" fillId="3" borderId="0" xfId="0" applyFill="1"/>
    <xf numFmtId="0" fontId="0" fillId="0" borderId="6" xfId="0" applyBorder="1"/>
    <xf numFmtId="0" fontId="0" fillId="0" borderId="0" xfId="0" applyBorder="1"/>
    <xf numFmtId="0" fontId="0" fillId="3" borderId="0" xfId="0" applyFill="1" applyBorder="1"/>
    <xf numFmtId="0" fontId="0" fillId="3" borderId="0" xfId="0" applyFill="1" applyProtection="1">
      <protection locked="0"/>
    </xf>
    <xf numFmtId="0" fontId="0" fillId="3" borderId="0" xfId="0" applyFill="1" applyAlignment="1">
      <alignment horizontal="center"/>
    </xf>
    <xf numFmtId="0" fontId="0" fillId="0" borderId="0" xfId="0" applyAlignment="1"/>
    <xf numFmtId="0" fontId="0" fillId="0" borderId="0" xfId="0" applyBorder="1" applyAlignment="1"/>
    <xf numFmtId="0" fontId="0" fillId="0" borderId="0" xfId="0" applyAlignment="1">
      <alignment horizontal="right"/>
    </xf>
    <xf numFmtId="0" fontId="0" fillId="0" borderId="0" xfId="0" applyAlignment="1">
      <alignment horizontal="right"/>
    </xf>
    <xf numFmtId="14" fontId="0" fillId="0" borderId="6" xfId="0" applyNumberFormat="1" applyBorder="1"/>
    <xf numFmtId="0" fontId="0" fillId="0" borderId="0" xfId="0" applyFill="1" applyBorder="1" applyAlignment="1">
      <alignment horizontal="center"/>
    </xf>
    <xf numFmtId="0" fontId="0" fillId="0" borderId="0" xfId="0" applyFill="1" applyBorder="1"/>
    <xf numFmtId="0" fontId="0" fillId="0" borderId="1" xfId="0" applyBorder="1" applyAlignment="1">
      <alignment horizontal="center"/>
    </xf>
    <xf numFmtId="0" fontId="0" fillId="0" borderId="1" xfId="0" applyBorder="1"/>
    <xf numFmtId="0" fontId="0" fillId="0" borderId="13" xfId="0" applyBorder="1" applyAlignment="1">
      <alignment horizontal="center" vertical="center"/>
    </xf>
    <xf numFmtId="0" fontId="0" fillId="0" borderId="13" xfId="0" applyFill="1" applyBorder="1" applyAlignment="1">
      <alignment horizontal="center" vertical="center"/>
    </xf>
    <xf numFmtId="0" fontId="0" fillId="0" borderId="14" xfId="0" applyFill="1" applyBorder="1" applyAlignment="1">
      <alignment horizontal="center" vertical="center"/>
    </xf>
    <xf numFmtId="0" fontId="0" fillId="0" borderId="20" xfId="0" applyBorder="1"/>
    <xf numFmtId="0" fontId="0" fillId="0" borderId="28" xfId="0" applyFill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41" xfId="0" applyBorder="1" applyAlignment="1">
      <alignment horizontal="center" vertical="center"/>
    </xf>
    <xf numFmtId="0" fontId="0" fillId="0" borderId="44" xfId="0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34" xfId="0" applyFill="1" applyBorder="1" applyAlignment="1">
      <alignment horizontal="center"/>
    </xf>
    <xf numFmtId="0" fontId="0" fillId="0" borderId="35" xfId="0" applyFill="1" applyBorder="1" applyAlignment="1">
      <alignment horizontal="center"/>
    </xf>
    <xf numFmtId="0" fontId="0" fillId="0" borderId="40" xfId="0" applyFill="1" applyBorder="1" applyAlignment="1">
      <alignment horizontal="center"/>
    </xf>
    <xf numFmtId="0" fontId="0" fillId="5" borderId="24" xfId="0" applyFill="1" applyBorder="1" applyAlignment="1">
      <alignment horizontal="center" vertical="center"/>
    </xf>
    <xf numFmtId="0" fontId="0" fillId="5" borderId="23" xfId="0" applyFill="1" applyBorder="1" applyAlignment="1">
      <alignment horizontal="center" vertical="center"/>
    </xf>
    <xf numFmtId="0" fontId="0" fillId="5" borderId="27" xfId="0" applyFill="1" applyBorder="1" applyAlignment="1">
      <alignment horizontal="center" vertical="center"/>
    </xf>
    <xf numFmtId="0" fontId="0" fillId="5" borderId="42" xfId="0" applyFill="1" applyBorder="1" applyAlignment="1">
      <alignment horizontal="center" vertical="center"/>
    </xf>
    <xf numFmtId="0" fontId="0" fillId="5" borderId="11" xfId="0" applyFill="1" applyBorder="1" applyAlignment="1">
      <alignment horizontal="center" vertical="center"/>
    </xf>
    <xf numFmtId="0" fontId="0" fillId="5" borderId="37" xfId="0" applyFill="1" applyBorder="1" applyAlignment="1">
      <alignment horizontal="center" vertical="center"/>
    </xf>
    <xf numFmtId="0" fontId="0" fillId="5" borderId="12" xfId="0" applyFill="1" applyBorder="1" applyAlignment="1">
      <alignment horizontal="center" vertical="center"/>
    </xf>
    <xf numFmtId="0" fontId="0" fillId="5" borderId="22" xfId="0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0" fillId="5" borderId="26" xfId="0" applyFill="1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0" fontId="0" fillId="0" borderId="10" xfId="0" applyBorder="1" applyAlignment="1">
      <alignment horizontal="center"/>
    </xf>
    <xf numFmtId="0" fontId="0" fillId="0" borderId="0" xfId="0" applyFont="1" applyBorder="1" applyAlignment="1">
      <alignment horizontal="center"/>
    </xf>
    <xf numFmtId="0" fontId="0" fillId="0" borderId="23" xfId="0" applyBorder="1" applyAlignment="1" applyProtection="1">
      <alignment horizontal="center" vertical="center"/>
      <protection locked="0"/>
    </xf>
    <xf numFmtId="0" fontId="0" fillId="0" borderId="24" xfId="0" applyBorder="1" applyAlignment="1" applyProtection="1">
      <alignment horizontal="center" vertical="center"/>
      <protection locked="0"/>
    </xf>
    <xf numFmtId="0" fontId="0" fillId="0" borderId="27" xfId="0" applyBorder="1" applyAlignment="1" applyProtection="1">
      <alignment horizontal="center" vertical="center"/>
      <protection locked="0"/>
    </xf>
    <xf numFmtId="0" fontId="0" fillId="0" borderId="43" xfId="0" applyBorder="1" applyAlignment="1" applyProtection="1">
      <alignment horizontal="center" vertical="center"/>
      <protection locked="0"/>
    </xf>
    <xf numFmtId="0" fontId="0" fillId="0" borderId="25" xfId="0" applyBorder="1" applyAlignment="1" applyProtection="1">
      <alignment horizontal="center" vertical="center"/>
      <protection locked="0"/>
    </xf>
    <xf numFmtId="0" fontId="0" fillId="0" borderId="46" xfId="0" applyBorder="1" applyAlignment="1" applyProtection="1">
      <alignment horizontal="center" vertical="center"/>
      <protection locked="0"/>
    </xf>
    <xf numFmtId="0" fontId="0" fillId="0" borderId="11" xfId="0" applyBorder="1" applyAlignment="1" applyProtection="1">
      <alignment horizontal="center" vertical="center"/>
      <protection locked="0"/>
    </xf>
    <xf numFmtId="0" fontId="0" fillId="0" borderId="9" xfId="0" applyBorder="1" applyAlignment="1" applyProtection="1">
      <alignment horizontal="center" vertical="center"/>
      <protection locked="0"/>
    </xf>
    <xf numFmtId="0" fontId="0" fillId="0" borderId="2" xfId="0" applyBorder="1" applyAlignment="1" applyProtection="1">
      <alignment horizontal="center" vertical="center"/>
      <protection locked="0"/>
    </xf>
    <xf numFmtId="0" fontId="6" fillId="0" borderId="0" xfId="0" applyFont="1" applyBorder="1" applyAlignment="1">
      <alignment horizontal="center"/>
    </xf>
    <xf numFmtId="0" fontId="6" fillId="0" borderId="0" xfId="0" applyFont="1" applyAlignment="1" applyProtection="1">
      <alignment horizontal="center"/>
      <protection locked="0"/>
    </xf>
    <xf numFmtId="0" fontId="0" fillId="0" borderId="6" xfId="0" applyBorder="1" applyAlignment="1">
      <alignment horizontal="center" vertical="center"/>
    </xf>
    <xf numFmtId="0" fontId="0" fillId="0" borderId="48" xfId="0" applyBorder="1" applyAlignment="1">
      <alignment horizontal="center" vertical="center"/>
    </xf>
    <xf numFmtId="0" fontId="0" fillId="0" borderId="49" xfId="0" applyBorder="1" applyAlignment="1">
      <alignment horizontal="center" vertical="center"/>
    </xf>
    <xf numFmtId="0" fontId="7" fillId="0" borderId="0" xfId="0" applyFont="1"/>
    <xf numFmtId="0" fontId="9" fillId="0" borderId="0" xfId="0" applyFont="1"/>
    <xf numFmtId="0" fontId="12" fillId="0" borderId="0" xfId="0" applyFont="1"/>
    <xf numFmtId="0" fontId="11" fillId="2" borderId="59" xfId="0" applyFont="1" applyFill="1" applyBorder="1" applyAlignment="1"/>
    <xf numFmtId="0" fontId="11" fillId="2" borderId="0" xfId="0" applyFont="1" applyFill="1" applyBorder="1" applyAlignment="1"/>
    <xf numFmtId="0" fontId="11" fillId="2" borderId="36" xfId="0" applyFont="1" applyFill="1" applyBorder="1" applyAlignment="1"/>
    <xf numFmtId="0" fontId="11" fillId="0" borderId="0" xfId="0" applyFont="1" applyBorder="1"/>
    <xf numFmtId="49" fontId="11" fillId="0" borderId="50" xfId="0" applyNumberFormat="1" applyFont="1" applyBorder="1" applyAlignment="1"/>
    <xf numFmtId="0" fontId="12" fillId="0" borderId="0" xfId="0" applyFont="1" applyAlignment="1">
      <alignment horizontal="center"/>
    </xf>
    <xf numFmtId="0" fontId="0" fillId="7" borderId="1" xfId="0" applyFill="1" applyBorder="1"/>
    <xf numFmtId="0" fontId="2" fillId="0" borderId="0" xfId="0" applyFont="1"/>
    <xf numFmtId="0" fontId="0" fillId="6" borderId="1" xfId="0" applyFill="1" applyBorder="1" applyAlignment="1">
      <alignment horizontal="center"/>
    </xf>
    <xf numFmtId="0" fontId="0" fillId="0" borderId="1" xfId="0" applyBorder="1" applyAlignment="1" applyProtection="1">
      <alignment horizontal="center"/>
      <protection locked="0"/>
    </xf>
    <xf numFmtId="0" fontId="0" fillId="6" borderId="1" xfId="0" applyFill="1" applyBorder="1" applyAlignment="1" applyProtection="1">
      <alignment horizontal="center"/>
      <protection locked="0"/>
    </xf>
    <xf numFmtId="0" fontId="0" fillId="0" borderId="1" xfId="0" applyBorder="1" applyAlignment="1"/>
    <xf numFmtId="0" fontId="0" fillId="0" borderId="0" xfId="0" applyBorder="1" applyAlignment="1" applyProtection="1">
      <alignment horizontal="center" vertical="center"/>
    </xf>
    <xf numFmtId="0" fontId="0" fillId="0" borderId="0" xfId="0" applyProtection="1"/>
    <xf numFmtId="0" fontId="0" fillId="0" borderId="0" xfId="0" applyAlignment="1" applyProtection="1">
      <alignment horizontal="right"/>
    </xf>
    <xf numFmtId="0" fontId="6" fillId="0" borderId="0" xfId="0" applyFont="1" applyBorder="1" applyAlignment="1" applyProtection="1">
      <alignment horizontal="center"/>
    </xf>
    <xf numFmtId="0" fontId="0" fillId="0" borderId="0" xfId="0" applyFill="1" applyBorder="1" applyAlignment="1" applyProtection="1">
      <alignment horizontal="center"/>
    </xf>
    <xf numFmtId="0" fontId="4" fillId="3" borderId="0" xfId="0" applyFont="1" applyFill="1" applyBorder="1" applyAlignment="1">
      <alignment horizontal="center" vertical="center"/>
    </xf>
    <xf numFmtId="0" fontId="4" fillId="3" borderId="0" xfId="0" applyFont="1" applyFill="1" applyBorder="1" applyAlignment="1" applyProtection="1">
      <alignment horizontal="center" vertical="center"/>
      <protection locked="0"/>
    </xf>
    <xf numFmtId="0" fontId="0" fillId="6" borderId="9" xfId="0" applyFill="1" applyBorder="1" applyAlignment="1" applyProtection="1">
      <protection locked="0"/>
    </xf>
    <xf numFmtId="0" fontId="0" fillId="6" borderId="11" xfId="0" applyFill="1" applyBorder="1" applyAlignment="1" applyProtection="1">
      <protection locked="0"/>
    </xf>
    <xf numFmtId="0" fontId="0" fillId="0" borderId="0" xfId="0" applyFont="1" applyProtection="1"/>
    <xf numFmtId="0" fontId="9" fillId="0" borderId="0" xfId="0" applyFont="1" applyAlignment="1">
      <alignment vertical="center"/>
    </xf>
    <xf numFmtId="0" fontId="7" fillId="0" borderId="48" xfId="0" applyFont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7" fillId="0" borderId="0" xfId="0" applyFont="1" applyAlignment="1">
      <alignment vertical="center"/>
    </xf>
    <xf numFmtId="0" fontId="7" fillId="0" borderId="15" xfId="0" applyFont="1" applyBorder="1" applyAlignment="1">
      <alignment vertical="center"/>
    </xf>
    <xf numFmtId="0" fontId="0" fillId="0" borderId="0" xfId="0" applyAlignment="1">
      <alignment vertical="center"/>
    </xf>
    <xf numFmtId="0" fontId="0" fillId="0" borderId="0" xfId="0" applyAlignment="1">
      <alignment horizontal="right"/>
    </xf>
    <xf numFmtId="0" fontId="0" fillId="0" borderId="42" xfId="0" applyBorder="1"/>
    <xf numFmtId="0" fontId="0" fillId="0" borderId="33" xfId="0" applyBorder="1" applyAlignment="1">
      <alignment horizontal="center"/>
    </xf>
    <xf numFmtId="0" fontId="0" fillId="0" borderId="25" xfId="0" applyBorder="1"/>
    <xf numFmtId="0" fontId="0" fillId="0" borderId="26" xfId="0" applyBorder="1" applyAlignment="1">
      <alignment horizontal="center"/>
    </xf>
    <xf numFmtId="0" fontId="0" fillId="0" borderId="10" xfId="0" applyBorder="1"/>
    <xf numFmtId="0" fontId="0" fillId="0" borderId="45" xfId="0" applyBorder="1"/>
    <xf numFmtId="0" fontId="0" fillId="0" borderId="46" xfId="0" applyBorder="1"/>
    <xf numFmtId="0" fontId="0" fillId="0" borderId="11" xfId="0" applyBorder="1"/>
    <xf numFmtId="0" fontId="0" fillId="0" borderId="33" xfId="0" applyBorder="1"/>
    <xf numFmtId="0" fontId="0" fillId="0" borderId="43" xfId="0" applyBorder="1"/>
    <xf numFmtId="0" fontId="0" fillId="0" borderId="26" xfId="0" applyBorder="1"/>
    <xf numFmtId="0" fontId="0" fillId="0" borderId="27" xfId="0" applyBorder="1"/>
    <xf numFmtId="0" fontId="0" fillId="0" borderId="62" xfId="0" applyBorder="1"/>
    <xf numFmtId="0" fontId="0" fillId="0" borderId="60" xfId="0" applyBorder="1"/>
    <xf numFmtId="0" fontId="0" fillId="0" borderId="71" xfId="0" applyBorder="1"/>
    <xf numFmtId="0" fontId="16" fillId="0" borderId="0" xfId="0" applyFont="1" applyAlignment="1">
      <alignment vertical="center"/>
    </xf>
    <xf numFmtId="0" fontId="0" fillId="0" borderId="1" xfId="0" applyBorder="1" applyAlignment="1">
      <alignment horizontal="center"/>
    </xf>
    <xf numFmtId="0" fontId="0" fillId="0" borderId="0" xfId="0" applyAlignment="1">
      <alignment horizontal="right"/>
    </xf>
    <xf numFmtId="0" fontId="0" fillId="0" borderId="26" xfId="0" applyBorder="1" applyAlignment="1">
      <alignment horizontal="center"/>
    </xf>
    <xf numFmtId="0" fontId="0" fillId="0" borderId="33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33" xfId="0" applyBorder="1" applyAlignment="1">
      <alignment horizontal="center"/>
    </xf>
    <xf numFmtId="0" fontId="12" fillId="0" borderId="0" xfId="0" applyFont="1" applyAlignment="1">
      <alignment horizontal="center"/>
    </xf>
    <xf numFmtId="0" fontId="0" fillId="0" borderId="1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Border="1" applyAlignment="1">
      <alignment horizontal="center"/>
    </xf>
    <xf numFmtId="0" fontId="0" fillId="0" borderId="0" xfId="0" applyBorder="1" applyAlignment="1">
      <alignment horizontal="right"/>
    </xf>
    <xf numFmtId="0" fontId="0" fillId="0" borderId="0" xfId="0" applyAlignment="1">
      <alignment horizontal="center"/>
    </xf>
    <xf numFmtId="0" fontId="0" fillId="0" borderId="40" xfId="0" applyBorder="1"/>
    <xf numFmtId="0" fontId="0" fillId="0" borderId="34" xfId="0" applyBorder="1"/>
    <xf numFmtId="0" fontId="0" fillId="0" borderId="35" xfId="0" applyBorder="1"/>
    <xf numFmtId="0" fontId="0" fillId="0" borderId="59" xfId="0" applyBorder="1"/>
    <xf numFmtId="0" fontId="0" fillId="0" borderId="36" xfId="0" applyBorder="1"/>
    <xf numFmtId="0" fontId="0" fillId="0" borderId="50" xfId="0" applyBorder="1"/>
    <xf numFmtId="0" fontId="0" fillId="0" borderId="38" xfId="0" applyBorder="1"/>
    <xf numFmtId="0" fontId="0" fillId="0" borderId="59" xfId="0" applyBorder="1" applyAlignment="1"/>
    <xf numFmtId="14" fontId="0" fillId="0" borderId="71" xfId="0" applyNumberFormat="1" applyBorder="1" applyAlignment="1">
      <alignment horizontal="center"/>
    </xf>
    <xf numFmtId="6" fontId="0" fillId="0" borderId="0" xfId="0" applyNumberFormat="1" applyBorder="1" applyAlignment="1"/>
    <xf numFmtId="165" fontId="0" fillId="0" borderId="71" xfId="0" applyNumberFormat="1" applyBorder="1" applyAlignment="1">
      <alignment horizontal="center"/>
    </xf>
    <xf numFmtId="0" fontId="0" fillId="0" borderId="75" xfId="0" applyBorder="1"/>
    <xf numFmtId="165" fontId="0" fillId="0" borderId="76" xfId="0" applyNumberFormat="1" applyBorder="1" applyAlignment="1">
      <alignment horizontal="center"/>
    </xf>
    <xf numFmtId="0" fontId="8" fillId="0" borderId="59" xfId="0" applyFont="1" applyBorder="1"/>
    <xf numFmtId="0" fontId="8" fillId="0" borderId="36" xfId="0" applyFont="1" applyBorder="1"/>
    <xf numFmtId="0" fontId="0" fillId="0" borderId="0" xfId="0" applyAlignment="1" applyProtection="1"/>
    <xf numFmtId="0" fontId="0" fillId="0" borderId="0" xfId="0" applyBorder="1" applyAlignment="1">
      <alignment horizontal="right"/>
    </xf>
    <xf numFmtId="0" fontId="0" fillId="0" borderId="68" xfId="0" applyBorder="1" applyAlignment="1" applyProtection="1">
      <alignment horizontal="center" vertical="center"/>
      <protection locked="0"/>
    </xf>
    <xf numFmtId="0" fontId="0" fillId="0" borderId="11" xfId="0" applyBorder="1" applyAlignment="1" applyProtection="1">
      <alignment horizontal="center" vertical="center"/>
      <protection locked="0"/>
    </xf>
    <xf numFmtId="0" fontId="0" fillId="0" borderId="62" xfId="0" applyBorder="1" applyAlignment="1" applyProtection="1">
      <alignment horizontal="center" vertical="center"/>
      <protection locked="0"/>
    </xf>
    <xf numFmtId="0" fontId="0" fillId="0" borderId="46" xfId="0" applyBorder="1" applyAlignment="1" applyProtection="1">
      <alignment horizontal="center" vertical="center"/>
      <protection locked="0"/>
    </xf>
    <xf numFmtId="0" fontId="0" fillId="0" borderId="23" xfId="0" applyBorder="1" applyAlignment="1" applyProtection="1">
      <alignment horizontal="center" vertical="center"/>
      <protection locked="0"/>
    </xf>
    <xf numFmtId="0" fontId="0" fillId="0" borderId="0" xfId="0" applyAlignment="1">
      <alignment horizontal="center"/>
    </xf>
    <xf numFmtId="0" fontId="0" fillId="5" borderId="68" xfId="0" applyFill="1" applyBorder="1" applyAlignment="1">
      <alignment horizontal="center" vertical="center"/>
    </xf>
    <xf numFmtId="0" fontId="0" fillId="5" borderId="60" xfId="0" applyFill="1" applyBorder="1" applyAlignment="1">
      <alignment horizontal="center" vertical="center"/>
    </xf>
    <xf numFmtId="0" fontId="0" fillId="0" borderId="69" xfId="0" applyFill="1" applyBorder="1" applyAlignment="1" applyProtection="1">
      <alignment horizontal="center" vertical="center"/>
      <protection locked="0"/>
    </xf>
    <xf numFmtId="0" fontId="0" fillId="0" borderId="61" xfId="0" applyFill="1" applyBorder="1" applyAlignment="1" applyProtection="1">
      <alignment horizontal="center" vertical="center"/>
      <protection locked="0"/>
    </xf>
    <xf numFmtId="0" fontId="0" fillId="5" borderId="62" xfId="0" applyFill="1" applyBorder="1" applyAlignment="1">
      <alignment horizontal="center" vertical="center"/>
    </xf>
    <xf numFmtId="0" fontId="0" fillId="0" borderId="68" xfId="0" applyFill="1" applyBorder="1" applyAlignment="1" applyProtection="1">
      <alignment horizontal="center" vertical="center"/>
      <protection locked="0"/>
    </xf>
    <xf numFmtId="0" fontId="0" fillId="5" borderId="46" xfId="0" applyFill="1" applyBorder="1" applyAlignment="1">
      <alignment horizontal="center" vertical="center"/>
    </xf>
    <xf numFmtId="0" fontId="0" fillId="5" borderId="72" xfId="0" applyFill="1" applyBorder="1" applyAlignment="1">
      <alignment horizontal="center" vertical="center"/>
    </xf>
    <xf numFmtId="0" fontId="0" fillId="5" borderId="9" xfId="0" applyFill="1" applyBorder="1" applyAlignment="1">
      <alignment horizontal="center" vertical="center"/>
    </xf>
    <xf numFmtId="0" fontId="0" fillId="5" borderId="41" xfId="0" applyFill="1" applyBorder="1" applyAlignment="1">
      <alignment horizontal="center" vertical="center"/>
    </xf>
    <xf numFmtId="0" fontId="0" fillId="5" borderId="72" xfId="0" applyFill="1" applyBorder="1" applyAlignment="1" applyProtection="1">
      <alignment horizontal="center" vertical="center"/>
    </xf>
    <xf numFmtId="0" fontId="0" fillId="5" borderId="63" xfId="0" applyFill="1" applyBorder="1" applyAlignment="1" applyProtection="1">
      <alignment horizontal="center" vertical="center"/>
    </xf>
    <xf numFmtId="0" fontId="0" fillId="5" borderId="9" xfId="0" applyFill="1" applyBorder="1" applyAlignment="1" applyProtection="1">
      <alignment horizontal="center" vertical="center"/>
    </xf>
    <xf numFmtId="0" fontId="0" fillId="5" borderId="69" xfId="0" applyFill="1" applyBorder="1" applyAlignment="1" applyProtection="1">
      <alignment horizontal="center" vertical="center"/>
    </xf>
    <xf numFmtId="0" fontId="0" fillId="5" borderId="68" xfId="0" applyFill="1" applyBorder="1" applyAlignment="1" applyProtection="1">
      <alignment horizontal="center" vertical="center"/>
    </xf>
    <xf numFmtId="0" fontId="0" fillId="5" borderId="11" xfId="0" applyFill="1" applyBorder="1" applyAlignment="1" applyProtection="1">
      <alignment horizontal="center" vertical="center"/>
    </xf>
    <xf numFmtId="0" fontId="0" fillId="5" borderId="60" xfId="0" applyFill="1" applyBorder="1" applyAlignment="1" applyProtection="1">
      <alignment horizontal="center" vertical="center"/>
    </xf>
    <xf numFmtId="0" fontId="0" fillId="5" borderId="37" xfId="0" applyFill="1" applyBorder="1" applyAlignment="1" applyProtection="1">
      <alignment horizontal="center" vertical="center"/>
    </xf>
    <xf numFmtId="0" fontId="0" fillId="5" borderId="24" xfId="0" applyFill="1" applyBorder="1" applyAlignment="1" applyProtection="1">
      <alignment horizontal="center" vertical="center"/>
    </xf>
    <xf numFmtId="0" fontId="0" fillId="5" borderId="27" xfId="0" applyFill="1" applyBorder="1" applyAlignment="1" applyProtection="1">
      <alignment horizontal="center" vertical="center"/>
    </xf>
    <xf numFmtId="0" fontId="0" fillId="0" borderId="9" xfId="0" applyFill="1" applyBorder="1" applyAlignment="1" applyProtection="1">
      <alignment horizontal="center" vertical="center"/>
      <protection locked="0"/>
    </xf>
    <xf numFmtId="0" fontId="0" fillId="0" borderId="41" xfId="0" applyFill="1" applyBorder="1" applyAlignment="1" applyProtection="1">
      <alignment horizontal="center" vertical="center"/>
      <protection locked="0"/>
    </xf>
    <xf numFmtId="0" fontId="0" fillId="0" borderId="62" xfId="0" applyFill="1" applyBorder="1" applyAlignment="1" applyProtection="1">
      <alignment horizontal="center" vertical="center"/>
      <protection locked="0"/>
    </xf>
    <xf numFmtId="0" fontId="0" fillId="0" borderId="9" xfId="0" applyBorder="1"/>
    <xf numFmtId="0" fontId="0" fillId="0" borderId="2" xfId="0" applyBorder="1"/>
    <xf numFmtId="0" fontId="0" fillId="0" borderId="10" xfId="0" applyFill="1" applyBorder="1"/>
    <xf numFmtId="0" fontId="0" fillId="0" borderId="23" xfId="0" applyBorder="1" applyProtection="1">
      <protection locked="0"/>
    </xf>
    <xf numFmtId="0" fontId="0" fillId="0" borderId="1" xfId="0" applyBorder="1" applyProtection="1">
      <protection locked="0"/>
    </xf>
    <xf numFmtId="0" fontId="0" fillId="0" borderId="24" xfId="0" applyBorder="1" applyAlignment="1" applyProtection="1">
      <alignment horizontal="center"/>
      <protection locked="0"/>
    </xf>
    <xf numFmtId="0" fontId="0" fillId="0" borderId="24" xfId="0" applyBorder="1" applyProtection="1">
      <protection locked="0"/>
    </xf>
    <xf numFmtId="0" fontId="0" fillId="0" borderId="24" xfId="0" applyFont="1" applyBorder="1" applyAlignment="1" applyProtection="1">
      <alignment horizontal="center"/>
      <protection locked="0"/>
    </xf>
    <xf numFmtId="0" fontId="0" fillId="0" borderId="25" xfId="0" applyBorder="1" applyProtection="1">
      <protection locked="0"/>
    </xf>
    <xf numFmtId="0" fontId="0" fillId="0" borderId="26" xfId="0" applyBorder="1" applyProtection="1">
      <protection locked="0"/>
    </xf>
    <xf numFmtId="0" fontId="0" fillId="0" borderId="27" xfId="0" applyBorder="1" applyAlignment="1" applyProtection="1">
      <alignment horizontal="center"/>
      <protection locked="0"/>
    </xf>
    <xf numFmtId="0" fontId="0" fillId="0" borderId="27" xfId="0" applyBorder="1" applyProtection="1">
      <protection locked="0"/>
    </xf>
    <xf numFmtId="0" fontId="0" fillId="0" borderId="45" xfId="0" applyBorder="1" applyAlignment="1" applyProtection="1">
      <alignment horizontal="center"/>
      <protection locked="0"/>
    </xf>
    <xf numFmtId="0" fontId="0" fillId="0" borderId="18" xfId="0" applyBorder="1" applyAlignment="1" applyProtection="1">
      <alignment horizontal="center"/>
      <protection locked="0"/>
    </xf>
    <xf numFmtId="0" fontId="0" fillId="0" borderId="19" xfId="0" applyBorder="1" applyAlignment="1" applyProtection="1">
      <alignment horizontal="center"/>
      <protection locked="0"/>
    </xf>
    <xf numFmtId="0" fontId="0" fillId="0" borderId="42" xfId="0" applyBorder="1" applyAlignment="1" applyProtection="1">
      <alignment horizontal="center"/>
      <protection locked="0"/>
    </xf>
    <xf numFmtId="0" fontId="0" fillId="0" borderId="33" xfId="0" applyBorder="1" applyAlignment="1" applyProtection="1">
      <alignment horizontal="center"/>
      <protection locked="0"/>
    </xf>
    <xf numFmtId="0" fontId="0" fillId="0" borderId="43" xfId="0" applyBorder="1" applyAlignment="1" applyProtection="1">
      <alignment horizontal="center"/>
      <protection locked="0"/>
    </xf>
    <xf numFmtId="0" fontId="0" fillId="0" borderId="1" xfId="0" applyBorder="1" applyAlignment="1">
      <alignment horizontal="center"/>
    </xf>
    <xf numFmtId="0" fontId="0" fillId="0" borderId="8" xfId="0" applyBorder="1" applyAlignment="1">
      <alignment horizontal="center"/>
    </xf>
    <xf numFmtId="0" fontId="4" fillId="0" borderId="2" xfId="0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4" fillId="0" borderId="3" xfId="0" applyFont="1" applyBorder="1" applyAlignment="1" applyProtection="1">
      <alignment horizontal="center" vertical="center"/>
      <protection locked="0"/>
    </xf>
    <xf numFmtId="0" fontId="4" fillId="0" borderId="4" xfId="0" applyFont="1" applyBorder="1" applyAlignment="1" applyProtection="1">
      <alignment horizontal="center" vertical="center"/>
      <protection locked="0"/>
    </xf>
    <xf numFmtId="0" fontId="4" fillId="0" borderId="6" xfId="0" applyFont="1" applyBorder="1" applyAlignment="1" applyProtection="1">
      <alignment horizontal="center" vertical="center"/>
      <protection locked="0"/>
    </xf>
    <xf numFmtId="0" fontId="4" fillId="0" borderId="7" xfId="0" applyFont="1" applyBorder="1" applyAlignment="1" applyProtection="1">
      <alignment horizontal="center" vertical="center"/>
      <protection locked="0"/>
    </xf>
    <xf numFmtId="0" fontId="4" fillId="0" borderId="1" xfId="0" applyFont="1" applyBorder="1" applyAlignment="1">
      <alignment horizontal="center" vertical="center"/>
    </xf>
    <xf numFmtId="20" fontId="4" fillId="0" borderId="1" xfId="0" applyNumberFormat="1" applyFont="1" applyFill="1" applyBorder="1" applyAlignment="1" applyProtection="1">
      <alignment horizontal="center" vertical="center"/>
      <protection locked="0"/>
    </xf>
    <xf numFmtId="0" fontId="4" fillId="0" borderId="1" xfId="0" applyFont="1" applyFill="1" applyBorder="1" applyAlignment="1" applyProtection="1">
      <alignment horizontal="center" vertical="center"/>
      <protection locked="0"/>
    </xf>
    <xf numFmtId="0" fontId="4" fillId="0" borderId="1" xfId="0" applyFont="1" applyFill="1" applyBorder="1" applyAlignment="1" applyProtection="1">
      <alignment horizontal="center" vertical="center"/>
    </xf>
    <xf numFmtId="0" fontId="4" fillId="0" borderId="2" xfId="0" applyFont="1" applyFill="1" applyBorder="1" applyAlignment="1" applyProtection="1">
      <alignment horizontal="center" vertical="center"/>
      <protection locked="0"/>
    </xf>
    <xf numFmtId="0" fontId="4" fillId="0" borderId="3" xfId="0" applyFont="1" applyFill="1" applyBorder="1" applyAlignment="1" applyProtection="1">
      <alignment horizontal="center" vertical="center"/>
      <protection locked="0"/>
    </xf>
    <xf numFmtId="0" fontId="4" fillId="0" borderId="4" xfId="0" applyFont="1" applyFill="1" applyBorder="1" applyAlignment="1" applyProtection="1">
      <alignment horizontal="center" vertical="center"/>
      <protection locked="0"/>
    </xf>
    <xf numFmtId="0" fontId="4" fillId="0" borderId="5" xfId="0" applyFont="1" applyFill="1" applyBorder="1" applyAlignment="1" applyProtection="1">
      <alignment horizontal="center" vertical="center"/>
      <protection locked="0"/>
    </xf>
    <xf numFmtId="0" fontId="4" fillId="0" borderId="6" xfId="0" applyFont="1" applyFill="1" applyBorder="1" applyAlignment="1" applyProtection="1">
      <alignment horizontal="center" vertical="center"/>
      <protection locked="0"/>
    </xf>
    <xf numFmtId="0" fontId="4" fillId="0" borderId="7" xfId="0" applyFont="1" applyFill="1" applyBorder="1" applyAlignment="1" applyProtection="1">
      <alignment horizontal="center" vertical="center"/>
      <protection locked="0"/>
    </xf>
    <xf numFmtId="0" fontId="7" fillId="0" borderId="1" xfId="0" applyFont="1" applyFill="1" applyBorder="1" applyAlignment="1" applyProtection="1">
      <alignment horizontal="center" vertical="center" wrapText="1"/>
    </xf>
    <xf numFmtId="0" fontId="7" fillId="0" borderId="1" xfId="0" applyFont="1" applyFill="1" applyBorder="1" applyAlignment="1" applyProtection="1">
      <alignment horizontal="center" vertical="center"/>
    </xf>
    <xf numFmtId="167" fontId="20" fillId="0" borderId="1" xfId="0" applyNumberFormat="1" applyFont="1" applyFill="1" applyBorder="1" applyAlignment="1" applyProtection="1">
      <alignment horizontal="center" vertical="center"/>
      <protection locked="0"/>
    </xf>
    <xf numFmtId="0" fontId="5" fillId="3" borderId="0" xfId="0" applyFont="1" applyFill="1" applyAlignment="1">
      <alignment horizontal="center"/>
    </xf>
    <xf numFmtId="0" fontId="0" fillId="4" borderId="3" xfId="0" applyFill="1" applyBorder="1" applyAlignment="1">
      <alignment horizontal="center"/>
    </xf>
    <xf numFmtId="0" fontId="0" fillId="4" borderId="6" xfId="0" applyFill="1" applyBorder="1" applyAlignment="1">
      <alignment horizontal="center"/>
    </xf>
    <xf numFmtId="0" fontId="0" fillId="4" borderId="4" xfId="0" applyFill="1" applyBorder="1" applyAlignment="1">
      <alignment horizontal="center"/>
    </xf>
    <xf numFmtId="0" fontId="0" fillId="4" borderId="7" xfId="0" applyFill="1" applyBorder="1" applyAlignment="1">
      <alignment horizontal="center"/>
    </xf>
    <xf numFmtId="0" fontId="0" fillId="0" borderId="0" xfId="0" applyAlignment="1">
      <alignment horizontal="center"/>
    </xf>
    <xf numFmtId="164" fontId="0" fillId="0" borderId="1" xfId="1" applyNumberFormat="1" applyFont="1" applyBorder="1" applyAlignment="1">
      <alignment horizontal="center" vertical="center"/>
    </xf>
    <xf numFmtId="164" fontId="0" fillId="0" borderId="9" xfId="1" applyNumberFormat="1" applyFont="1" applyBorder="1" applyAlignment="1">
      <alignment horizontal="center" vertical="center"/>
    </xf>
    <xf numFmtId="0" fontId="0" fillId="3" borderId="0" xfId="0" applyFill="1" applyAlignment="1">
      <alignment horizontal="center"/>
    </xf>
    <xf numFmtId="0" fontId="0" fillId="4" borderId="2" xfId="0" applyFill="1" applyBorder="1" applyAlignment="1">
      <alignment horizontal="center"/>
    </xf>
    <xf numFmtId="0" fontId="0" fillId="4" borderId="5" xfId="0" applyFill="1" applyBorder="1" applyAlignment="1">
      <alignment horizontal="center"/>
    </xf>
    <xf numFmtId="0" fontId="0" fillId="0" borderId="1" xfId="0" applyFill="1" applyBorder="1" applyAlignment="1" applyProtection="1">
      <alignment horizontal="center"/>
      <protection locked="0"/>
    </xf>
    <xf numFmtId="14" fontId="4" fillId="0" borderId="1" xfId="0" applyNumberFormat="1" applyFont="1" applyBorder="1" applyAlignment="1" applyProtection="1">
      <alignment horizontal="center" vertical="center"/>
      <protection locked="0"/>
    </xf>
    <xf numFmtId="0" fontId="4" fillId="0" borderId="1" xfId="0" applyFont="1" applyBorder="1" applyAlignment="1" applyProtection="1">
      <alignment horizontal="center" vertical="center"/>
      <protection locked="0"/>
    </xf>
    <xf numFmtId="0" fontId="0" fillId="0" borderId="1" xfId="0" applyFill="1" applyBorder="1" applyAlignment="1">
      <alignment horizontal="center"/>
    </xf>
    <xf numFmtId="0" fontId="10" fillId="0" borderId="16" xfId="0" applyFont="1" applyBorder="1" applyAlignment="1">
      <alignment horizontal="center"/>
    </xf>
    <xf numFmtId="0" fontId="10" fillId="0" borderId="17" xfId="0" applyFont="1" applyBorder="1" applyAlignment="1">
      <alignment horizontal="center"/>
    </xf>
    <xf numFmtId="0" fontId="11" fillId="0" borderId="16" xfId="0" applyFont="1" applyBorder="1" applyAlignment="1" applyProtection="1">
      <alignment horizontal="center" vertical="center"/>
      <protection locked="0"/>
    </xf>
    <xf numFmtId="0" fontId="11" fillId="0" borderId="17" xfId="0" applyFont="1" applyBorder="1" applyAlignment="1" applyProtection="1">
      <alignment horizontal="center" vertical="center"/>
      <protection locked="0"/>
    </xf>
    <xf numFmtId="0" fontId="11" fillId="0" borderId="20" xfId="0" applyFont="1" applyBorder="1" applyAlignment="1" applyProtection="1">
      <alignment horizontal="center" vertical="center"/>
      <protection locked="0"/>
    </xf>
    <xf numFmtId="0" fontId="10" fillId="0" borderId="45" xfId="0" applyFont="1" applyBorder="1" applyAlignment="1">
      <alignment horizontal="center"/>
    </xf>
    <xf numFmtId="0" fontId="10" fillId="0" borderId="18" xfId="0" applyFont="1" applyBorder="1" applyAlignment="1">
      <alignment horizontal="center"/>
    </xf>
    <xf numFmtId="0" fontId="10" fillId="0" borderId="19" xfId="0" applyFont="1" applyBorder="1" applyAlignment="1">
      <alignment horizontal="center"/>
    </xf>
    <xf numFmtId="49" fontId="11" fillId="0" borderId="45" xfId="0" applyNumberFormat="1" applyFont="1" applyBorder="1" applyAlignment="1">
      <alignment horizontal="left"/>
    </xf>
    <xf numFmtId="49" fontId="11" fillId="0" borderId="18" xfId="0" applyNumberFormat="1" applyFont="1" applyBorder="1" applyAlignment="1">
      <alignment horizontal="left"/>
    </xf>
    <xf numFmtId="49" fontId="11" fillId="0" borderId="19" xfId="0" applyNumberFormat="1" applyFont="1" applyBorder="1" applyAlignment="1">
      <alignment horizontal="left"/>
    </xf>
    <xf numFmtId="0" fontId="11" fillId="0" borderId="45" xfId="0" applyFont="1" applyBorder="1" applyAlignment="1"/>
    <xf numFmtId="0" fontId="11" fillId="0" borderId="18" xfId="0" applyFont="1" applyBorder="1" applyAlignment="1"/>
    <xf numFmtId="0" fontId="11" fillId="0" borderId="19" xfId="0" applyFont="1" applyBorder="1" applyAlignment="1"/>
    <xf numFmtId="0" fontId="2" fillId="0" borderId="0" xfId="0" applyFont="1" applyAlignment="1">
      <alignment horizontal="left"/>
    </xf>
    <xf numFmtId="0" fontId="12" fillId="0" borderId="18" xfId="0" applyFont="1" applyBorder="1" applyAlignment="1">
      <alignment horizontal="left"/>
    </xf>
    <xf numFmtId="0" fontId="12" fillId="0" borderId="19" xfId="0" applyFont="1" applyBorder="1" applyAlignment="1">
      <alignment horizontal="left"/>
    </xf>
    <xf numFmtId="0" fontId="10" fillId="0" borderId="20" xfId="0" applyFont="1" applyBorder="1" applyAlignment="1">
      <alignment horizontal="center"/>
    </xf>
    <xf numFmtId="0" fontId="12" fillId="0" borderId="34" xfId="0" applyFont="1" applyBorder="1" applyAlignment="1">
      <alignment horizontal="left"/>
    </xf>
    <xf numFmtId="0" fontId="12" fillId="0" borderId="35" xfId="0" applyFont="1" applyBorder="1" applyAlignment="1">
      <alignment horizontal="left"/>
    </xf>
    <xf numFmtId="0" fontId="12" fillId="0" borderId="38" xfId="0" applyFont="1" applyBorder="1" applyAlignment="1">
      <alignment horizontal="center"/>
    </xf>
    <xf numFmtId="0" fontId="12" fillId="0" borderId="39" xfId="0" applyFont="1" applyBorder="1" applyAlignment="1">
      <alignment horizontal="center"/>
    </xf>
    <xf numFmtId="49" fontId="11" fillId="0" borderId="40" xfId="0" applyNumberFormat="1" applyFont="1" applyBorder="1" applyAlignment="1">
      <alignment horizontal="left"/>
    </xf>
    <xf numFmtId="49" fontId="11" fillId="0" borderId="34" xfId="0" applyNumberFormat="1" applyFont="1" applyBorder="1" applyAlignment="1">
      <alignment horizontal="left"/>
    </xf>
    <xf numFmtId="49" fontId="11" fillId="0" borderId="35" xfId="0" applyNumberFormat="1" applyFont="1" applyBorder="1" applyAlignment="1">
      <alignment horizontal="left"/>
    </xf>
    <xf numFmtId="49" fontId="11" fillId="0" borderId="56" xfId="0" applyNumberFormat="1" applyFont="1" applyBorder="1" applyAlignment="1">
      <alignment horizontal="left"/>
    </xf>
    <xf numFmtId="49" fontId="11" fillId="0" borderId="3" xfId="0" applyNumberFormat="1" applyFont="1" applyBorder="1" applyAlignment="1">
      <alignment horizontal="left"/>
    </xf>
    <xf numFmtId="49" fontId="11" fillId="0" borderId="57" xfId="0" applyNumberFormat="1" applyFont="1" applyBorder="1" applyAlignment="1">
      <alignment horizontal="left"/>
    </xf>
    <xf numFmtId="49" fontId="11" fillId="0" borderId="60" xfId="0" applyNumberFormat="1" applyFont="1" applyBorder="1" applyAlignment="1">
      <alignment horizontal="left"/>
    </xf>
    <xf numFmtId="49" fontId="11" fillId="0" borderId="49" xfId="0" applyNumberFormat="1" applyFont="1" applyBorder="1" applyAlignment="1">
      <alignment horizontal="left"/>
    </xf>
    <xf numFmtId="49" fontId="11" fillId="0" borderId="61" xfId="0" applyNumberFormat="1" applyFont="1" applyBorder="1" applyAlignment="1">
      <alignment horizontal="left"/>
    </xf>
    <xf numFmtId="0" fontId="11" fillId="0" borderId="62" xfId="0" applyFont="1" applyBorder="1" applyAlignment="1">
      <alignment horizontal="left"/>
    </xf>
    <xf numFmtId="0" fontId="11" fillId="0" borderId="47" xfId="0" applyFont="1" applyBorder="1" applyAlignment="1">
      <alignment horizontal="left"/>
    </xf>
    <xf numFmtId="0" fontId="11" fillId="0" borderId="63" xfId="0" applyFont="1" applyBorder="1" applyAlignment="1">
      <alignment horizontal="left"/>
    </xf>
    <xf numFmtId="0" fontId="11" fillId="0" borderId="56" xfId="0" applyFont="1" applyBorder="1" applyAlignment="1">
      <alignment horizontal="left"/>
    </xf>
    <xf numFmtId="0" fontId="11" fillId="0" borderId="3" xfId="0" applyFont="1" applyBorder="1" applyAlignment="1">
      <alignment horizontal="left"/>
    </xf>
    <xf numFmtId="0" fontId="11" fillId="0" borderId="57" xfId="0" applyFont="1" applyBorder="1" applyAlignment="1">
      <alignment horizontal="left"/>
    </xf>
    <xf numFmtId="0" fontId="11" fillId="0" borderId="60" xfId="0" applyFont="1" applyBorder="1" applyAlignment="1">
      <alignment horizontal="left"/>
    </xf>
    <xf numFmtId="0" fontId="11" fillId="0" borderId="49" xfId="0" applyFont="1" applyBorder="1" applyAlignment="1">
      <alignment horizontal="left"/>
    </xf>
    <xf numFmtId="0" fontId="11" fillId="0" borderId="61" xfId="0" applyFont="1" applyBorder="1" applyAlignment="1">
      <alignment horizontal="left"/>
    </xf>
    <xf numFmtId="49" fontId="11" fillId="0" borderId="50" xfId="0" applyNumberFormat="1" applyFont="1" applyBorder="1" applyAlignment="1">
      <alignment horizontal="left"/>
    </xf>
    <xf numFmtId="49" fontId="11" fillId="0" borderId="38" xfId="0" applyNumberFormat="1" applyFont="1" applyBorder="1" applyAlignment="1">
      <alignment horizontal="left"/>
    </xf>
    <xf numFmtId="49" fontId="11" fillId="0" borderId="39" xfId="0" applyNumberFormat="1" applyFont="1" applyBorder="1" applyAlignment="1">
      <alignment horizontal="left"/>
    </xf>
    <xf numFmtId="0" fontId="11" fillId="0" borderId="40" xfId="0" applyFont="1" applyBorder="1" applyAlignment="1"/>
    <xf numFmtId="0" fontId="11" fillId="0" borderId="34" xfId="0" applyFont="1" applyBorder="1" applyAlignment="1"/>
    <xf numFmtId="0" fontId="11" fillId="0" borderId="35" xfId="0" applyFont="1" applyBorder="1" applyAlignment="1"/>
    <xf numFmtId="0" fontId="11" fillId="0" borderId="50" xfId="0" applyFont="1" applyBorder="1" applyAlignment="1"/>
    <xf numFmtId="0" fontId="11" fillId="0" borderId="38" xfId="0" applyFont="1" applyBorder="1" applyAlignment="1"/>
    <xf numFmtId="0" fontId="11" fillId="0" borderId="39" xfId="0" applyFont="1" applyBorder="1" applyAlignment="1"/>
    <xf numFmtId="0" fontId="11" fillId="0" borderId="32" xfId="0" applyFont="1" applyBorder="1" applyAlignment="1" applyProtection="1">
      <alignment horizontal="center" vertical="center"/>
      <protection locked="0"/>
    </xf>
    <xf numFmtId="0" fontId="11" fillId="0" borderId="51" xfId="0" applyFont="1" applyBorder="1" applyAlignment="1" applyProtection="1">
      <alignment horizontal="center" vertical="center"/>
      <protection locked="0"/>
    </xf>
    <xf numFmtId="0" fontId="11" fillId="0" borderId="53" xfId="0" applyFont="1" applyBorder="1" applyAlignment="1" applyProtection="1">
      <alignment horizontal="center" vertical="center"/>
      <protection locked="0"/>
    </xf>
    <xf numFmtId="0" fontId="11" fillId="0" borderId="54" xfId="0" applyFont="1" applyBorder="1" applyAlignment="1" applyProtection="1">
      <alignment horizontal="center" vertical="center"/>
      <protection locked="0"/>
    </xf>
    <xf numFmtId="0" fontId="11" fillId="0" borderId="52" xfId="0" applyFont="1" applyBorder="1" applyAlignment="1" applyProtection="1">
      <alignment horizontal="center" vertical="center"/>
      <protection locked="0"/>
    </xf>
    <xf numFmtId="0" fontId="11" fillId="0" borderId="55" xfId="0" applyFont="1" applyBorder="1" applyAlignment="1" applyProtection="1">
      <alignment horizontal="center" vertical="center"/>
      <protection locked="0"/>
    </xf>
    <xf numFmtId="0" fontId="12" fillId="0" borderId="3" xfId="0" applyFont="1" applyBorder="1" applyAlignment="1">
      <alignment horizontal="left"/>
    </xf>
    <xf numFmtId="0" fontId="12" fillId="0" borderId="57" xfId="0" applyFont="1" applyBorder="1" applyAlignment="1">
      <alignment horizontal="left"/>
    </xf>
    <xf numFmtId="0" fontId="12" fillId="0" borderId="49" xfId="0" applyFont="1" applyBorder="1" applyAlignment="1">
      <alignment horizontal="left"/>
    </xf>
    <xf numFmtId="0" fontId="12" fillId="0" borderId="61" xfId="0" applyFont="1" applyBorder="1" applyAlignment="1">
      <alignment horizontal="left"/>
    </xf>
    <xf numFmtId="0" fontId="11" fillId="0" borderId="32" xfId="0" applyFont="1" applyBorder="1" applyAlignment="1" applyProtection="1">
      <alignment horizontal="center"/>
      <protection locked="0"/>
    </xf>
    <xf numFmtId="0" fontId="11" fillId="0" borderId="51" xfId="0" applyFont="1" applyBorder="1" applyAlignment="1" applyProtection="1">
      <alignment horizontal="center"/>
      <protection locked="0"/>
    </xf>
    <xf numFmtId="0" fontId="11" fillId="0" borderId="52" xfId="0" applyFont="1" applyBorder="1" applyAlignment="1" applyProtection="1">
      <alignment horizontal="center"/>
      <protection locked="0"/>
    </xf>
    <xf numFmtId="0" fontId="11" fillId="0" borderId="23" xfId="0" applyFont="1" applyBorder="1" applyAlignment="1" applyProtection="1">
      <alignment horizontal="center"/>
      <protection locked="0"/>
    </xf>
    <xf numFmtId="0" fontId="11" fillId="0" borderId="1" xfId="0" applyFont="1" applyBorder="1" applyAlignment="1" applyProtection="1">
      <alignment horizontal="center"/>
      <protection locked="0"/>
    </xf>
    <xf numFmtId="0" fontId="11" fillId="0" borderId="24" xfId="0" applyFont="1" applyBorder="1" applyAlignment="1" applyProtection="1">
      <alignment horizontal="center"/>
      <protection locked="0"/>
    </xf>
    <xf numFmtId="0" fontId="11" fillId="0" borderId="15" xfId="0" applyFont="1" applyBorder="1" applyAlignment="1" applyProtection="1">
      <alignment horizontal="center" vertical="center"/>
      <protection locked="0"/>
    </xf>
    <xf numFmtId="0" fontId="11" fillId="0" borderId="65" xfId="0" applyFont="1" applyBorder="1" applyAlignment="1" applyProtection="1">
      <alignment horizontal="center" vertical="center"/>
      <protection locked="0"/>
    </xf>
    <xf numFmtId="0" fontId="11" fillId="0" borderId="59" xfId="0" applyFont="1" applyBorder="1" applyAlignment="1">
      <alignment horizontal="left"/>
    </xf>
    <xf numFmtId="0" fontId="11" fillId="0" borderId="0" xfId="0" applyFont="1" applyBorder="1" applyAlignment="1">
      <alignment horizontal="left"/>
    </xf>
    <xf numFmtId="0" fontId="11" fillId="0" borderId="36" xfId="0" applyFont="1" applyBorder="1" applyAlignment="1">
      <alignment horizontal="left"/>
    </xf>
    <xf numFmtId="49" fontId="11" fillId="0" borderId="59" xfId="0" applyNumberFormat="1" applyFont="1" applyBorder="1" applyAlignment="1">
      <alignment horizontal="left"/>
    </xf>
    <xf numFmtId="49" fontId="11" fillId="0" borderId="0" xfId="0" applyNumberFormat="1" applyFont="1" applyBorder="1" applyAlignment="1">
      <alignment horizontal="left"/>
    </xf>
    <xf numFmtId="49" fontId="11" fillId="0" borderId="36" xfId="0" applyNumberFormat="1" applyFont="1" applyBorder="1" applyAlignment="1">
      <alignment horizontal="left"/>
    </xf>
    <xf numFmtId="49" fontId="11" fillId="0" borderId="59" xfId="0" applyNumberFormat="1" applyFont="1" applyBorder="1" applyAlignment="1">
      <alignment horizontal="center"/>
    </xf>
    <xf numFmtId="49" fontId="11" fillId="0" borderId="0" xfId="0" applyNumberFormat="1" applyFont="1" applyBorder="1" applyAlignment="1">
      <alignment horizontal="center"/>
    </xf>
    <xf numFmtId="49" fontId="11" fillId="0" borderId="36" xfId="0" applyNumberFormat="1" applyFont="1" applyBorder="1" applyAlignment="1">
      <alignment horizontal="center"/>
    </xf>
    <xf numFmtId="49" fontId="11" fillId="0" borderId="50" xfId="0" applyNumberFormat="1" applyFont="1" applyBorder="1" applyAlignment="1">
      <alignment horizontal="center"/>
    </xf>
    <xf numFmtId="49" fontId="11" fillId="0" borderId="38" xfId="0" applyNumberFormat="1" applyFont="1" applyBorder="1" applyAlignment="1">
      <alignment horizontal="center"/>
    </xf>
    <xf numFmtId="49" fontId="11" fillId="0" borderId="39" xfId="0" applyNumberFormat="1" applyFont="1" applyBorder="1" applyAlignment="1">
      <alignment horizontal="center"/>
    </xf>
    <xf numFmtId="0" fontId="11" fillId="0" borderId="25" xfId="0" applyFont="1" applyBorder="1" applyAlignment="1" applyProtection="1">
      <alignment horizontal="center"/>
      <protection locked="0"/>
    </xf>
    <xf numFmtId="0" fontId="11" fillId="0" borderId="26" xfId="0" applyFont="1" applyBorder="1" applyAlignment="1" applyProtection="1">
      <alignment horizontal="center"/>
      <protection locked="0"/>
    </xf>
    <xf numFmtId="0" fontId="11" fillId="0" borderId="27" xfId="0" applyFont="1" applyBorder="1" applyAlignment="1" applyProtection="1">
      <alignment horizontal="center"/>
      <protection locked="0"/>
    </xf>
    <xf numFmtId="0" fontId="11" fillId="0" borderId="66" xfId="0" applyFont="1" applyBorder="1" applyAlignment="1">
      <alignment horizontal="left"/>
    </xf>
    <xf numFmtId="0" fontId="11" fillId="0" borderId="6" xfId="0" applyFont="1" applyBorder="1" applyAlignment="1">
      <alignment horizontal="left"/>
    </xf>
    <xf numFmtId="0" fontId="11" fillId="0" borderId="67" xfId="0" applyFont="1" applyBorder="1" applyAlignment="1">
      <alignment horizontal="left"/>
    </xf>
    <xf numFmtId="49" fontId="11" fillId="0" borderId="66" xfId="0" applyNumberFormat="1" applyFont="1" applyBorder="1" applyAlignment="1">
      <alignment horizontal="center"/>
    </xf>
    <xf numFmtId="49" fontId="11" fillId="0" borderId="6" xfId="0" applyNumberFormat="1" applyFont="1" applyBorder="1" applyAlignment="1">
      <alignment horizontal="center"/>
    </xf>
    <xf numFmtId="49" fontId="11" fillId="0" borderId="67" xfId="0" applyNumberFormat="1" applyFont="1" applyBorder="1" applyAlignment="1">
      <alignment horizontal="center"/>
    </xf>
    <xf numFmtId="0" fontId="12" fillId="0" borderId="0" xfId="0" applyFont="1" applyBorder="1" applyAlignment="1">
      <alignment horizontal="center"/>
    </xf>
    <xf numFmtId="0" fontId="12" fillId="0" borderId="36" xfId="0" applyFont="1" applyBorder="1" applyAlignment="1">
      <alignment horizontal="center"/>
    </xf>
    <xf numFmtId="0" fontId="11" fillId="0" borderId="40" xfId="0" applyFont="1" applyBorder="1" applyAlignment="1">
      <alignment horizontal="left"/>
    </xf>
    <xf numFmtId="0" fontId="11" fillId="0" borderId="34" xfId="0" applyFont="1" applyBorder="1" applyAlignment="1">
      <alignment horizontal="left"/>
    </xf>
    <xf numFmtId="0" fontId="11" fillId="0" borderId="35" xfId="0" applyFont="1" applyBorder="1" applyAlignment="1">
      <alignment horizontal="left"/>
    </xf>
    <xf numFmtId="0" fontId="11" fillId="0" borderId="64" xfId="0" applyFont="1" applyBorder="1" applyAlignment="1" applyProtection="1">
      <alignment horizontal="center" vertical="center"/>
      <protection locked="0"/>
    </xf>
    <xf numFmtId="0" fontId="11" fillId="0" borderId="21" xfId="0" applyFont="1" applyBorder="1" applyAlignment="1" applyProtection="1">
      <alignment horizontal="center" vertical="center"/>
      <protection locked="0"/>
    </xf>
    <xf numFmtId="0" fontId="11" fillId="0" borderId="12" xfId="0" applyFont="1" applyBorder="1" applyAlignment="1" applyProtection="1">
      <alignment horizontal="center" vertical="center"/>
      <protection locked="0"/>
    </xf>
    <xf numFmtId="0" fontId="11" fillId="0" borderId="22" xfId="0" applyFont="1" applyBorder="1" applyAlignment="1" applyProtection="1">
      <alignment horizontal="center" vertical="center"/>
      <protection locked="0"/>
    </xf>
    <xf numFmtId="0" fontId="11" fillId="2" borderId="59" xfId="0" applyFont="1" applyFill="1" applyBorder="1" applyAlignment="1">
      <alignment horizontal="center"/>
    </xf>
    <xf numFmtId="0" fontId="11" fillId="2" borderId="0" xfId="0" applyFont="1" applyFill="1" applyBorder="1" applyAlignment="1">
      <alignment horizontal="center"/>
    </xf>
    <xf numFmtId="0" fontId="11" fillId="2" borderId="36" xfId="0" applyFont="1" applyFill="1" applyBorder="1" applyAlignment="1">
      <alignment horizontal="center"/>
    </xf>
    <xf numFmtId="0" fontId="11" fillId="5" borderId="59" xfId="0" applyFont="1" applyFill="1" applyBorder="1" applyAlignment="1" applyProtection="1">
      <alignment horizontal="center"/>
      <protection locked="0"/>
    </xf>
    <xf numFmtId="0" fontId="11" fillId="5" borderId="0" xfId="0" applyFont="1" applyFill="1" applyBorder="1" applyAlignment="1" applyProtection="1">
      <alignment horizontal="center"/>
      <protection locked="0"/>
    </xf>
    <xf numFmtId="0" fontId="11" fillId="5" borderId="8" xfId="0" applyFont="1" applyFill="1" applyBorder="1" applyAlignment="1" applyProtection="1">
      <alignment horizontal="center"/>
      <protection locked="0"/>
    </xf>
    <xf numFmtId="0" fontId="11" fillId="5" borderId="36" xfId="0" applyFont="1" applyFill="1" applyBorder="1" applyAlignment="1" applyProtection="1">
      <alignment horizontal="center"/>
      <protection locked="0"/>
    </xf>
    <xf numFmtId="0" fontId="11" fillId="2" borderId="56" xfId="0" applyFont="1" applyFill="1" applyBorder="1" applyAlignment="1">
      <alignment horizontal="center"/>
    </xf>
    <xf numFmtId="0" fontId="11" fillId="2" borderId="3" xfId="0" applyFont="1" applyFill="1" applyBorder="1" applyAlignment="1">
      <alignment horizontal="center"/>
    </xf>
    <xf numFmtId="0" fontId="11" fillId="2" borderId="57" xfId="0" applyFont="1" applyFill="1" applyBorder="1" applyAlignment="1">
      <alignment horizontal="center"/>
    </xf>
    <xf numFmtId="0" fontId="11" fillId="4" borderId="59" xfId="0" applyFont="1" applyFill="1" applyBorder="1" applyAlignment="1" applyProtection="1">
      <alignment horizontal="center"/>
      <protection locked="0"/>
    </xf>
    <xf numFmtId="0" fontId="11" fillId="4" borderId="0" xfId="0" applyFont="1" applyFill="1" applyBorder="1" applyAlignment="1" applyProtection="1">
      <alignment horizontal="center"/>
      <protection locked="0"/>
    </xf>
    <xf numFmtId="0" fontId="11" fillId="4" borderId="8" xfId="0" applyFont="1" applyFill="1" applyBorder="1" applyAlignment="1" applyProtection="1">
      <alignment horizontal="center"/>
      <protection locked="0"/>
    </xf>
    <xf numFmtId="0" fontId="11" fillId="4" borderId="36" xfId="0" applyFont="1" applyFill="1" applyBorder="1" applyAlignment="1" applyProtection="1">
      <alignment horizontal="center"/>
      <protection locked="0"/>
    </xf>
    <xf numFmtId="0" fontId="11" fillId="2" borderId="40" xfId="0" applyFont="1" applyFill="1" applyBorder="1" applyAlignment="1">
      <alignment horizontal="center"/>
    </xf>
    <xf numFmtId="0" fontId="11" fillId="2" borderId="34" xfId="0" applyFont="1" applyFill="1" applyBorder="1" applyAlignment="1">
      <alignment horizontal="center"/>
    </xf>
    <xf numFmtId="0" fontId="11" fillId="2" borderId="35" xfId="0" applyFont="1" applyFill="1" applyBorder="1" applyAlignment="1">
      <alignment horizontal="center"/>
    </xf>
    <xf numFmtId="0" fontId="11" fillId="0" borderId="59" xfId="0" applyFont="1" applyBorder="1" applyAlignment="1" applyProtection="1">
      <alignment horizontal="center" vertical="center"/>
      <protection locked="0"/>
    </xf>
    <xf numFmtId="0" fontId="11" fillId="0" borderId="58" xfId="0" applyFont="1" applyBorder="1" applyAlignment="1" applyProtection="1">
      <alignment horizontal="center" vertical="center"/>
      <protection locked="0"/>
    </xf>
    <xf numFmtId="0" fontId="11" fillId="0" borderId="50" xfId="0" applyFont="1" applyBorder="1" applyAlignment="1" applyProtection="1">
      <alignment horizontal="center" vertical="center"/>
      <protection locked="0"/>
    </xf>
    <xf numFmtId="0" fontId="11" fillId="0" borderId="70" xfId="0" applyFont="1" applyBorder="1" applyAlignment="1" applyProtection="1">
      <alignment horizontal="center" vertical="center"/>
      <protection locked="0"/>
    </xf>
    <xf numFmtId="0" fontId="11" fillId="0" borderId="0" xfId="0" applyFont="1" applyBorder="1" applyAlignment="1" applyProtection="1">
      <alignment horizontal="center" vertical="center"/>
      <protection locked="0"/>
    </xf>
    <xf numFmtId="0" fontId="11" fillId="0" borderId="36" xfId="0" applyFont="1" applyBorder="1" applyAlignment="1" applyProtection="1">
      <alignment horizontal="center" vertical="center"/>
      <protection locked="0"/>
    </xf>
    <xf numFmtId="0" fontId="11" fillId="0" borderId="38" xfId="0" applyFont="1" applyBorder="1" applyAlignment="1" applyProtection="1">
      <alignment horizontal="center" vertical="center"/>
      <protection locked="0"/>
    </xf>
    <xf numFmtId="0" fontId="11" fillId="0" borderId="39" xfId="0" applyFont="1" applyBorder="1" applyAlignment="1" applyProtection="1">
      <alignment horizontal="center" vertical="center"/>
      <protection locked="0"/>
    </xf>
    <xf numFmtId="0" fontId="11" fillId="2" borderId="50" xfId="0" applyFont="1" applyFill="1" applyBorder="1" applyAlignment="1">
      <alignment horizontal="center"/>
    </xf>
    <xf numFmtId="0" fontId="11" fillId="2" borderId="38" xfId="0" applyFont="1" applyFill="1" applyBorder="1" applyAlignment="1">
      <alignment horizontal="center"/>
    </xf>
    <xf numFmtId="0" fontId="11" fillId="2" borderId="39" xfId="0" applyFont="1" applyFill="1" applyBorder="1" applyAlignment="1">
      <alignment horizontal="center"/>
    </xf>
    <xf numFmtId="49" fontId="11" fillId="0" borderId="68" xfId="0" applyNumberFormat="1" applyFont="1" applyBorder="1" applyAlignment="1">
      <alignment horizontal="center"/>
    </xf>
    <xf numFmtId="49" fontId="11" fillId="0" borderId="48" xfId="0" applyNumberFormat="1" applyFont="1" applyBorder="1" applyAlignment="1">
      <alignment horizontal="center"/>
    </xf>
    <xf numFmtId="49" fontId="11" fillId="0" borderId="69" xfId="0" applyNumberFormat="1" applyFont="1" applyBorder="1" applyAlignment="1">
      <alignment horizontal="center"/>
    </xf>
    <xf numFmtId="0" fontId="11" fillId="0" borderId="50" xfId="0" applyFont="1" applyBorder="1" applyAlignment="1">
      <alignment horizontal="left"/>
    </xf>
    <xf numFmtId="0" fontId="11" fillId="0" borderId="38" xfId="0" applyFont="1" applyBorder="1" applyAlignment="1">
      <alignment horizontal="left"/>
    </xf>
    <xf numFmtId="0" fontId="11" fillId="0" borderId="39" xfId="0" applyFont="1" applyBorder="1" applyAlignment="1">
      <alignment horizontal="left"/>
    </xf>
    <xf numFmtId="0" fontId="11" fillId="0" borderId="29" xfId="0" applyFont="1" applyBorder="1" applyAlignment="1" applyProtection="1">
      <alignment horizontal="center" vertical="center"/>
      <protection locked="0"/>
    </xf>
    <xf numFmtId="0" fontId="11" fillId="0" borderId="30" xfId="0" applyFont="1" applyBorder="1" applyAlignment="1" applyProtection="1">
      <alignment horizontal="center" vertical="center"/>
      <protection locked="0"/>
    </xf>
    <xf numFmtId="0" fontId="11" fillId="0" borderId="31" xfId="0" applyFont="1" applyBorder="1" applyAlignment="1" applyProtection="1">
      <alignment horizontal="center" vertical="center"/>
      <protection locked="0"/>
    </xf>
    <xf numFmtId="0" fontId="11" fillId="5" borderId="42" xfId="0" applyFont="1" applyFill="1" applyBorder="1" applyAlignment="1" applyProtection="1">
      <alignment horizontal="center"/>
      <protection locked="0"/>
    </xf>
    <xf numFmtId="0" fontId="11" fillId="5" borderId="33" xfId="0" applyFont="1" applyFill="1" applyBorder="1" applyAlignment="1" applyProtection="1">
      <alignment horizontal="center"/>
      <protection locked="0"/>
    </xf>
    <xf numFmtId="0" fontId="11" fillId="5" borderId="43" xfId="0" applyFont="1" applyFill="1" applyBorder="1" applyAlignment="1" applyProtection="1">
      <alignment horizontal="center"/>
      <protection locked="0"/>
    </xf>
    <xf numFmtId="49" fontId="11" fillId="0" borderId="56" xfId="0" applyNumberFormat="1" applyFont="1" applyBorder="1" applyAlignment="1">
      <alignment horizontal="center"/>
    </xf>
    <xf numFmtId="49" fontId="11" fillId="0" borderId="3" xfId="0" applyNumberFormat="1" applyFont="1" applyBorder="1" applyAlignment="1">
      <alignment horizontal="center"/>
    </xf>
    <xf numFmtId="49" fontId="11" fillId="0" borderId="57" xfId="0" applyNumberFormat="1" applyFont="1" applyBorder="1" applyAlignment="1">
      <alignment horizontal="center"/>
    </xf>
    <xf numFmtId="49" fontId="11" fillId="0" borderId="66" xfId="0" applyNumberFormat="1" applyFont="1" applyBorder="1" applyAlignment="1">
      <alignment horizontal="left"/>
    </xf>
    <xf numFmtId="49" fontId="11" fillId="0" borderId="6" xfId="0" applyNumberFormat="1" applyFont="1" applyBorder="1" applyAlignment="1">
      <alignment horizontal="left"/>
    </xf>
    <xf numFmtId="49" fontId="11" fillId="0" borderId="67" xfId="0" applyNumberFormat="1" applyFont="1" applyBorder="1" applyAlignment="1">
      <alignment horizontal="left"/>
    </xf>
    <xf numFmtId="0" fontId="11" fillId="0" borderId="56" xfId="0" applyFont="1" applyBorder="1" applyAlignment="1">
      <alignment horizontal="center"/>
    </xf>
    <xf numFmtId="0" fontId="11" fillId="0" borderId="3" xfId="0" applyFont="1" applyBorder="1" applyAlignment="1">
      <alignment horizontal="center"/>
    </xf>
    <xf numFmtId="0" fontId="11" fillId="0" borderId="57" xfId="0" applyFont="1" applyBorder="1" applyAlignment="1">
      <alignment horizontal="center"/>
    </xf>
    <xf numFmtId="0" fontId="11" fillId="0" borderId="59" xfId="0" applyFont="1" applyBorder="1" applyAlignment="1">
      <alignment horizontal="center"/>
    </xf>
    <xf numFmtId="0" fontId="11" fillId="0" borderId="0" xfId="0" applyFont="1" applyBorder="1" applyAlignment="1">
      <alignment horizontal="center"/>
    </xf>
    <xf numFmtId="0" fontId="11" fillId="0" borderId="36" xfId="0" applyFont="1" applyBorder="1" applyAlignment="1">
      <alignment horizontal="center"/>
    </xf>
    <xf numFmtId="0" fontId="11" fillId="0" borderId="66" xfId="0" applyFont="1" applyBorder="1" applyAlignment="1">
      <alignment horizontal="center"/>
    </xf>
    <xf numFmtId="0" fontId="11" fillId="0" borderId="6" xfId="0" applyFont="1" applyBorder="1" applyAlignment="1">
      <alignment horizontal="center"/>
    </xf>
    <xf numFmtId="0" fontId="11" fillId="0" borderId="67" xfId="0" applyFont="1" applyBorder="1" applyAlignment="1">
      <alignment horizontal="center"/>
    </xf>
    <xf numFmtId="0" fontId="11" fillId="0" borderId="59" xfId="0" applyFont="1" applyFill="1" applyBorder="1" applyAlignment="1" applyProtection="1">
      <alignment horizontal="center"/>
      <protection locked="0"/>
    </xf>
    <xf numFmtId="0" fontId="11" fillId="0" borderId="0" xfId="0" applyFont="1" applyFill="1" applyBorder="1" applyAlignment="1" applyProtection="1">
      <alignment horizontal="center"/>
      <protection locked="0"/>
    </xf>
    <xf numFmtId="0" fontId="11" fillId="0" borderId="8" xfId="0" applyFont="1" applyFill="1" applyBorder="1" applyAlignment="1" applyProtection="1">
      <alignment horizontal="center"/>
      <protection locked="0"/>
    </xf>
    <xf numFmtId="0" fontId="11" fillId="0" borderId="36" xfId="0" applyFont="1" applyFill="1" applyBorder="1" applyAlignment="1" applyProtection="1">
      <alignment horizontal="center"/>
      <protection locked="0"/>
    </xf>
    <xf numFmtId="0" fontId="11" fillId="2" borderId="60" xfId="0" applyFont="1" applyFill="1" applyBorder="1" applyAlignment="1">
      <alignment horizontal="center"/>
    </xf>
    <xf numFmtId="0" fontId="11" fillId="2" borderId="49" xfId="0" applyFont="1" applyFill="1" applyBorder="1" applyAlignment="1">
      <alignment horizontal="center"/>
    </xf>
    <xf numFmtId="0" fontId="11" fillId="2" borderId="61" xfId="0" applyFont="1" applyFill="1" applyBorder="1" applyAlignment="1">
      <alignment horizontal="center"/>
    </xf>
    <xf numFmtId="0" fontId="12" fillId="0" borderId="0" xfId="0" applyFont="1" applyAlignment="1">
      <alignment horizontal="center"/>
    </xf>
    <xf numFmtId="0" fontId="0" fillId="0" borderId="3" xfId="0" applyBorder="1" applyAlignment="1">
      <alignment horizontal="center"/>
    </xf>
    <xf numFmtId="0" fontId="0" fillId="0" borderId="0" xfId="0" applyBorder="1" applyAlignment="1">
      <alignment horizontal="center"/>
    </xf>
    <xf numFmtId="20" fontId="0" fillId="0" borderId="0" xfId="0" applyNumberForma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6" xfId="0" applyBorder="1" applyAlignment="1">
      <alignment horizontal="center"/>
    </xf>
    <xf numFmtId="14" fontId="0" fillId="0" borderId="2" xfId="0" applyNumberFormat="1" applyBorder="1" applyAlignment="1">
      <alignment horizontal="center"/>
    </xf>
    <xf numFmtId="0" fontId="0" fillId="0" borderId="4" xfId="0" applyBorder="1" applyAlignment="1">
      <alignment horizontal="center"/>
    </xf>
    <xf numFmtId="20" fontId="0" fillId="0" borderId="5" xfId="0" applyNumberFormat="1" applyBorder="1" applyAlignment="1">
      <alignment horizontal="center"/>
    </xf>
    <xf numFmtId="0" fontId="0" fillId="0" borderId="7" xfId="0" applyBorder="1" applyAlignment="1">
      <alignment horizontal="center"/>
    </xf>
    <xf numFmtId="0" fontId="14" fillId="0" borderId="2" xfId="0" applyFont="1" applyFill="1" applyBorder="1" applyAlignment="1">
      <alignment horizontal="center" vertical="center"/>
    </xf>
    <xf numFmtId="0" fontId="14" fillId="0" borderId="3" xfId="0" applyFont="1" applyFill="1" applyBorder="1" applyAlignment="1">
      <alignment horizontal="center" vertical="center"/>
    </xf>
    <xf numFmtId="0" fontId="14" fillId="0" borderId="4" xfId="0" applyFont="1" applyFill="1" applyBorder="1" applyAlignment="1">
      <alignment horizontal="center" vertical="center"/>
    </xf>
    <xf numFmtId="0" fontId="14" fillId="0" borderId="5" xfId="0" applyFont="1" applyFill="1" applyBorder="1" applyAlignment="1">
      <alignment horizontal="center" vertical="center"/>
    </xf>
    <xf numFmtId="0" fontId="14" fillId="0" borderId="6" xfId="0" applyFont="1" applyFill="1" applyBorder="1" applyAlignment="1">
      <alignment horizontal="center" vertical="center"/>
    </xf>
    <xf numFmtId="0" fontId="14" fillId="0" borderId="7" xfId="0" applyFont="1" applyFill="1" applyBorder="1" applyAlignment="1">
      <alignment horizontal="center" vertical="center"/>
    </xf>
    <xf numFmtId="0" fontId="0" fillId="0" borderId="3" xfId="0" applyBorder="1" applyAlignment="1">
      <alignment horizontal="right"/>
    </xf>
    <xf numFmtId="0" fontId="0" fillId="0" borderId="3" xfId="0" applyBorder="1" applyAlignment="1">
      <alignment horizontal="left"/>
    </xf>
    <xf numFmtId="0" fontId="0" fillId="0" borderId="1" xfId="0" applyBorder="1" applyAlignment="1">
      <alignment horizontal="left"/>
    </xf>
    <xf numFmtId="0" fontId="3" fillId="0" borderId="0" xfId="0" applyFont="1" applyAlignment="1">
      <alignment horizontal="center" vertical="center"/>
    </xf>
    <xf numFmtId="49" fontId="2" fillId="0" borderId="0" xfId="0" applyNumberFormat="1" applyFont="1" applyAlignment="1">
      <alignment horizontal="center"/>
    </xf>
    <xf numFmtId="0" fontId="14" fillId="0" borderId="0" xfId="0" applyFont="1" applyAlignment="1">
      <alignment horizontal="center"/>
    </xf>
    <xf numFmtId="0" fontId="0" fillId="0" borderId="3" xfId="0" applyBorder="1" applyAlignment="1">
      <alignment horizontal="left" wrapText="1"/>
    </xf>
    <xf numFmtId="0" fontId="0" fillId="0" borderId="0" xfId="0" applyAlignment="1">
      <alignment horizontal="left" wrapText="1"/>
    </xf>
    <xf numFmtId="0" fontId="16" fillId="0" borderId="40" xfId="0" applyFont="1" applyBorder="1" applyAlignment="1">
      <alignment horizontal="center" vertical="center"/>
    </xf>
    <xf numFmtId="0" fontId="16" fillId="0" borderId="34" xfId="0" applyFont="1" applyBorder="1" applyAlignment="1">
      <alignment horizontal="center" vertical="center"/>
    </xf>
    <xf numFmtId="0" fontId="16" fillId="0" borderId="35" xfId="0" applyFont="1" applyBorder="1" applyAlignment="1">
      <alignment horizontal="center" vertical="center"/>
    </xf>
    <xf numFmtId="0" fontId="16" fillId="0" borderId="59" xfId="0" applyFont="1" applyBorder="1" applyAlignment="1">
      <alignment horizontal="center" vertical="center"/>
    </xf>
    <xf numFmtId="0" fontId="16" fillId="0" borderId="0" xfId="0" applyFont="1" applyBorder="1" applyAlignment="1">
      <alignment horizontal="center" vertical="center"/>
    </xf>
    <xf numFmtId="0" fontId="16" fillId="0" borderId="36" xfId="0" applyFont="1" applyBorder="1" applyAlignment="1">
      <alignment horizontal="center" vertical="center"/>
    </xf>
    <xf numFmtId="0" fontId="16" fillId="0" borderId="50" xfId="0" applyFont="1" applyBorder="1" applyAlignment="1">
      <alignment horizontal="center" vertical="center"/>
    </xf>
    <xf numFmtId="0" fontId="16" fillId="0" borderId="38" xfId="0" applyFont="1" applyBorder="1" applyAlignment="1">
      <alignment horizontal="center" vertical="center"/>
    </xf>
    <xf numFmtId="0" fontId="16" fillId="0" borderId="39" xfId="0" applyFont="1" applyBorder="1" applyAlignment="1">
      <alignment horizontal="center" vertical="center"/>
    </xf>
    <xf numFmtId="0" fontId="0" fillId="0" borderId="59" xfId="0" applyBorder="1" applyAlignment="1">
      <alignment horizontal="center"/>
    </xf>
    <xf numFmtId="0" fontId="0" fillId="0" borderId="71" xfId="0" applyBorder="1" applyAlignment="1">
      <alignment horizontal="center"/>
    </xf>
    <xf numFmtId="0" fontId="0" fillId="0" borderId="73" xfId="0" applyBorder="1" applyAlignment="1">
      <alignment horizontal="center"/>
    </xf>
    <xf numFmtId="0" fontId="0" fillId="0" borderId="74" xfId="0" applyBorder="1" applyAlignment="1">
      <alignment horizontal="center"/>
    </xf>
    <xf numFmtId="0" fontId="8" fillId="0" borderId="38" xfId="0" applyFont="1" applyBorder="1" applyAlignment="1">
      <alignment horizontal="center"/>
    </xf>
    <xf numFmtId="0" fontId="8" fillId="0" borderId="39" xfId="0" applyFont="1" applyBorder="1" applyAlignment="1">
      <alignment horizontal="center"/>
    </xf>
    <xf numFmtId="168" fontId="8" fillId="0" borderId="71" xfId="0" applyNumberFormat="1" applyFont="1" applyBorder="1" applyAlignment="1">
      <alignment horizontal="left"/>
    </xf>
    <xf numFmtId="166" fontId="8" fillId="0" borderId="74" xfId="0" applyNumberFormat="1" applyFont="1" applyBorder="1" applyAlignment="1">
      <alignment horizontal="right"/>
    </xf>
    <xf numFmtId="166" fontId="8" fillId="0" borderId="71" xfId="0" applyNumberFormat="1" applyFont="1" applyBorder="1" applyAlignment="1">
      <alignment horizontal="right"/>
    </xf>
    <xf numFmtId="0" fontId="0" fillId="0" borderId="59" xfId="0" applyBorder="1" applyAlignment="1">
      <alignment horizontal="right"/>
    </xf>
    <xf numFmtId="0" fontId="0" fillId="0" borderId="0" xfId="0" applyBorder="1" applyAlignment="1">
      <alignment horizontal="right"/>
    </xf>
    <xf numFmtId="0" fontId="2" fillId="0" borderId="0" xfId="0" applyFont="1" applyBorder="1" applyAlignment="1">
      <alignment horizontal="right"/>
    </xf>
    <xf numFmtId="0" fontId="0" fillId="0" borderId="45" xfId="0" applyFill="1" applyBorder="1" applyAlignment="1">
      <alignment horizontal="center"/>
    </xf>
    <xf numFmtId="0" fontId="0" fillId="0" borderId="18" xfId="0" applyFill="1" applyBorder="1" applyAlignment="1">
      <alignment horizontal="center"/>
    </xf>
    <xf numFmtId="0" fontId="0" fillId="0" borderId="19" xfId="0" applyFill="1" applyBorder="1" applyAlignment="1">
      <alignment horizontal="center"/>
    </xf>
    <xf numFmtId="0" fontId="0" fillId="0" borderId="45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2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68" xfId="0" applyBorder="1" applyAlignment="1" applyProtection="1">
      <alignment horizontal="center" vertical="center"/>
      <protection locked="0"/>
    </xf>
    <xf numFmtId="0" fontId="0" fillId="0" borderId="11" xfId="0" applyBorder="1" applyAlignment="1" applyProtection="1">
      <alignment horizontal="center" vertical="center"/>
      <protection locked="0"/>
    </xf>
    <xf numFmtId="0" fontId="0" fillId="0" borderId="9" xfId="0" applyBorder="1" applyAlignment="1" applyProtection="1">
      <alignment horizontal="center" vertical="center"/>
      <protection locked="0"/>
    </xf>
    <xf numFmtId="0" fontId="0" fillId="0" borderId="9" xfId="0" applyBorder="1" applyAlignment="1">
      <alignment horizontal="center" vertical="center"/>
    </xf>
    <xf numFmtId="0" fontId="0" fillId="0" borderId="0" xfId="0" applyAlignment="1">
      <alignment horizontal="right"/>
    </xf>
    <xf numFmtId="0" fontId="0" fillId="0" borderId="60" xfId="0" applyBorder="1" applyAlignment="1" applyProtection="1">
      <alignment horizontal="center" vertical="center"/>
      <protection locked="0"/>
    </xf>
    <xf numFmtId="0" fontId="0" fillId="0" borderId="37" xfId="0" applyBorder="1" applyAlignment="1" applyProtection="1">
      <alignment horizontal="center" vertical="center"/>
      <protection locked="0"/>
    </xf>
    <xf numFmtId="0" fontId="0" fillId="0" borderId="41" xfId="0" applyBorder="1" applyAlignment="1" applyProtection="1">
      <alignment horizontal="center" vertical="center"/>
      <protection locked="0"/>
    </xf>
    <xf numFmtId="0" fontId="0" fillId="0" borderId="62" xfId="0" applyBorder="1" applyAlignment="1" applyProtection="1">
      <alignment horizontal="center" vertical="center"/>
      <protection locked="0"/>
    </xf>
    <xf numFmtId="0" fontId="0" fillId="0" borderId="46" xfId="0" applyBorder="1" applyAlignment="1" applyProtection="1">
      <alignment horizontal="center" vertical="center"/>
      <protection locked="0"/>
    </xf>
    <xf numFmtId="0" fontId="0" fillId="0" borderId="72" xfId="0" applyBorder="1" applyAlignment="1" applyProtection="1">
      <alignment horizontal="center" vertical="center"/>
      <protection locked="0"/>
    </xf>
    <xf numFmtId="0" fontId="0" fillId="0" borderId="45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38" xfId="0" applyBorder="1" applyAlignment="1">
      <alignment horizontal="center" vertical="center"/>
    </xf>
    <xf numFmtId="0" fontId="0" fillId="0" borderId="39" xfId="0" applyBorder="1" applyAlignment="1">
      <alignment horizontal="center" vertical="center"/>
    </xf>
    <xf numFmtId="0" fontId="0" fillId="0" borderId="23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29" xfId="0" applyBorder="1" applyAlignment="1" applyProtection="1">
      <alignment horizontal="center" vertical="center"/>
      <protection locked="0"/>
    </xf>
    <xf numFmtId="0" fontId="0" fillId="0" borderId="30" xfId="0" applyBorder="1" applyAlignment="1" applyProtection="1">
      <alignment horizontal="center" vertical="center"/>
      <protection locked="0"/>
    </xf>
    <xf numFmtId="0" fontId="5" fillId="0" borderId="2" xfId="0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5" fillId="0" borderId="8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5" fillId="0" borderId="58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0" fillId="0" borderId="9" xfId="0" applyBorder="1" applyAlignment="1">
      <alignment horizontal="center"/>
    </xf>
    <xf numFmtId="0" fontId="0" fillId="0" borderId="48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0" xfId="0" applyAlignment="1">
      <alignment horizontal="right" vertical="center"/>
    </xf>
    <xf numFmtId="0" fontId="0" fillId="0" borderId="6" xfId="0" applyBorder="1" applyAlignment="1">
      <alignment horizontal="center" vertical="center"/>
    </xf>
    <xf numFmtId="0" fontId="7" fillId="0" borderId="6" xfId="0" applyFont="1" applyBorder="1" applyAlignment="1">
      <alignment horizontal="center" vertical="center"/>
    </xf>
    <xf numFmtId="14" fontId="0" fillId="0" borderId="48" xfId="0" applyNumberFormat="1" applyBorder="1" applyAlignment="1">
      <alignment horizontal="center"/>
    </xf>
    <xf numFmtId="20" fontId="0" fillId="0" borderId="48" xfId="0" applyNumberFormat="1" applyBorder="1" applyAlignment="1">
      <alignment horizontal="center"/>
    </xf>
    <xf numFmtId="14" fontId="0" fillId="0" borderId="6" xfId="0" applyNumberFormat="1" applyBorder="1" applyAlignment="1">
      <alignment horizontal="center"/>
    </xf>
    <xf numFmtId="0" fontId="0" fillId="0" borderId="0" xfId="0" applyFont="1" applyAlignment="1">
      <alignment horizontal="center" vertical="center"/>
    </xf>
    <xf numFmtId="20" fontId="0" fillId="0" borderId="6" xfId="0" applyNumberFormat="1" applyBorder="1" applyAlignment="1" applyProtection="1">
      <alignment horizontal="center"/>
      <protection locked="0"/>
    </xf>
    <xf numFmtId="0" fontId="0" fillId="0" borderId="6" xfId="0" applyBorder="1" applyAlignment="1" applyProtection="1">
      <alignment horizontal="center"/>
      <protection locked="0"/>
    </xf>
    <xf numFmtId="0" fontId="7" fillId="0" borderId="2" xfId="0" applyFont="1" applyBorder="1" applyAlignment="1">
      <alignment horizontal="center" vertical="center"/>
    </xf>
    <xf numFmtId="0" fontId="7" fillId="0" borderId="3" xfId="0" applyFont="1" applyBorder="1" applyAlignment="1">
      <alignment horizontal="center" vertical="center"/>
    </xf>
    <xf numFmtId="0" fontId="7" fillId="0" borderId="5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7" fillId="0" borderId="2" xfId="0" applyFont="1" applyBorder="1" applyAlignment="1" applyProtection="1">
      <alignment horizontal="center" vertical="center"/>
      <protection locked="0"/>
    </xf>
    <xf numFmtId="0" fontId="7" fillId="0" borderId="3" xfId="0" applyFont="1" applyBorder="1" applyAlignment="1" applyProtection="1">
      <alignment horizontal="center" vertical="center"/>
      <protection locked="0"/>
    </xf>
    <xf numFmtId="0" fontId="7" fillId="0" borderId="5" xfId="0" applyFont="1" applyBorder="1" applyAlignment="1" applyProtection="1">
      <alignment horizontal="center" vertical="center"/>
      <protection locked="0"/>
    </xf>
    <xf numFmtId="0" fontId="7" fillId="0" borderId="6" xfId="0" applyFont="1" applyBorder="1" applyAlignment="1" applyProtection="1">
      <alignment horizontal="center" vertical="center"/>
      <protection locked="0"/>
    </xf>
    <xf numFmtId="0" fontId="7" fillId="0" borderId="4" xfId="0" applyFont="1" applyBorder="1" applyAlignment="1" applyProtection="1">
      <alignment horizontal="center" vertical="center"/>
      <protection locked="0"/>
    </xf>
    <xf numFmtId="0" fontId="7" fillId="0" borderId="7" xfId="0" applyFont="1" applyBorder="1" applyAlignment="1" applyProtection="1">
      <alignment horizontal="center" vertical="center"/>
      <protection locked="0"/>
    </xf>
    <xf numFmtId="0" fontId="13" fillId="7" borderId="2" xfId="0" applyFont="1" applyFill="1" applyBorder="1" applyAlignment="1">
      <alignment horizontal="center" vertical="center"/>
    </xf>
    <xf numFmtId="0" fontId="13" fillId="7" borderId="3" xfId="0" applyFont="1" applyFill="1" applyBorder="1" applyAlignment="1">
      <alignment horizontal="center" vertical="center"/>
    </xf>
    <xf numFmtId="0" fontId="13" fillId="7" borderId="4" xfId="0" applyFont="1" applyFill="1" applyBorder="1" applyAlignment="1">
      <alignment horizontal="center" vertical="center"/>
    </xf>
    <xf numFmtId="0" fontId="13" fillId="7" borderId="5" xfId="0" applyFont="1" applyFill="1" applyBorder="1" applyAlignment="1">
      <alignment horizontal="center" vertical="center"/>
    </xf>
    <xf numFmtId="0" fontId="13" fillId="7" borderId="6" xfId="0" applyFont="1" applyFill="1" applyBorder="1" applyAlignment="1">
      <alignment horizontal="center" vertical="center"/>
    </xf>
    <xf numFmtId="0" fontId="13" fillId="7" borderId="7" xfId="0" applyFont="1" applyFill="1" applyBorder="1" applyAlignment="1">
      <alignment horizontal="center" vertical="center"/>
    </xf>
    <xf numFmtId="49" fontId="0" fillId="0" borderId="1" xfId="0" applyNumberFormat="1" applyBorder="1" applyAlignment="1" applyProtection="1">
      <alignment horizontal="center" vertical="center"/>
      <protection locked="0"/>
    </xf>
    <xf numFmtId="0" fontId="7" fillId="0" borderId="2" xfId="0" applyFont="1" applyBorder="1" applyAlignment="1" applyProtection="1">
      <alignment horizontal="left"/>
    </xf>
    <xf numFmtId="0" fontId="7" fillId="0" borderId="3" xfId="0" applyFont="1" applyBorder="1" applyAlignment="1" applyProtection="1">
      <alignment horizontal="left"/>
    </xf>
    <xf numFmtId="0" fontId="7" fillId="0" borderId="3" xfId="0" applyFont="1" applyBorder="1" applyAlignment="1" applyProtection="1">
      <alignment horizontal="left"/>
      <protection locked="0"/>
    </xf>
    <xf numFmtId="0" fontId="7" fillId="0" borderId="4" xfId="0" applyFont="1" applyBorder="1" applyAlignment="1" applyProtection="1">
      <alignment horizontal="left"/>
      <protection locked="0"/>
    </xf>
    <xf numFmtId="0" fontId="15" fillId="0" borderId="0" xfId="0" applyFont="1" applyAlignment="1" applyProtection="1">
      <alignment horizontal="center" vertical="center"/>
    </xf>
    <xf numFmtId="0" fontId="7" fillId="0" borderId="5" xfId="0" applyFont="1" applyBorder="1" applyAlignment="1" applyProtection="1">
      <alignment horizontal="left"/>
    </xf>
    <xf numFmtId="0" fontId="7" fillId="0" borderId="6" xfId="0" applyFont="1" applyBorder="1" applyAlignment="1" applyProtection="1">
      <alignment horizontal="left"/>
    </xf>
    <xf numFmtId="0" fontId="7" fillId="0" borderId="6" xfId="0" applyFont="1" applyBorder="1" applyAlignment="1" applyProtection="1">
      <alignment horizontal="left"/>
      <protection locked="0"/>
    </xf>
    <xf numFmtId="0" fontId="7" fillId="0" borderId="7" xfId="0" applyFont="1" applyBorder="1" applyAlignment="1" applyProtection="1">
      <alignment horizontal="left"/>
      <protection locked="0"/>
    </xf>
    <xf numFmtId="0" fontId="7" fillId="0" borderId="9" xfId="0" applyFont="1" applyBorder="1" applyAlignment="1" applyProtection="1">
      <alignment horizontal="left"/>
    </xf>
    <xf numFmtId="0" fontId="7" fillId="0" borderId="48" xfId="0" applyFont="1" applyBorder="1" applyAlignment="1" applyProtection="1">
      <alignment horizontal="left"/>
    </xf>
    <xf numFmtId="0" fontId="7" fillId="0" borderId="48" xfId="0" applyFont="1" applyBorder="1" applyAlignment="1" applyProtection="1">
      <alignment horizontal="left"/>
      <protection locked="0"/>
    </xf>
    <xf numFmtId="0" fontId="7" fillId="0" borderId="11" xfId="0" applyFont="1" applyBorder="1" applyAlignment="1" applyProtection="1">
      <alignment horizontal="left"/>
      <protection locked="0"/>
    </xf>
    <xf numFmtId="0" fontId="15" fillId="0" borderId="0" xfId="0" applyFont="1" applyAlignment="1">
      <alignment horizontal="center"/>
    </xf>
    <xf numFmtId="0" fontId="7" fillId="0" borderId="9" xfId="0" applyFont="1" applyBorder="1" applyAlignment="1">
      <alignment horizontal="center" vertical="center"/>
    </xf>
    <xf numFmtId="0" fontId="7" fillId="0" borderId="48" xfId="0" applyFont="1" applyBorder="1" applyAlignment="1">
      <alignment horizontal="center" vertical="center"/>
    </xf>
    <xf numFmtId="0" fontId="7" fillId="0" borderId="11" xfId="0" applyFont="1" applyBorder="1" applyAlignment="1">
      <alignment horizontal="center" vertical="center"/>
    </xf>
    <xf numFmtId="0" fontId="2" fillId="7" borderId="9" xfId="0" applyFont="1" applyFill="1" applyBorder="1" applyAlignment="1">
      <alignment horizontal="center"/>
    </xf>
    <xf numFmtId="0" fontId="2" fillId="7" borderId="48" xfId="0" applyFont="1" applyFill="1" applyBorder="1" applyAlignment="1">
      <alignment horizontal="center"/>
    </xf>
    <xf numFmtId="0" fontId="2" fillId="7" borderId="11" xfId="0" applyFont="1" applyFill="1" applyBorder="1" applyAlignment="1">
      <alignment horizontal="center"/>
    </xf>
    <xf numFmtId="49" fontId="7" fillId="0" borderId="1" xfId="0" applyNumberFormat="1" applyFont="1" applyBorder="1" applyAlignment="1" applyProtection="1">
      <alignment horizontal="center" vertical="center"/>
      <protection locked="0"/>
    </xf>
    <xf numFmtId="0" fontId="0" fillId="0" borderId="9" xfId="0" applyFont="1" applyBorder="1" applyAlignment="1">
      <alignment horizontal="center"/>
    </xf>
    <xf numFmtId="0" fontId="0" fillId="0" borderId="48" xfId="0" applyFont="1" applyBorder="1" applyAlignment="1">
      <alignment horizontal="center"/>
    </xf>
    <xf numFmtId="0" fontId="0" fillId="0" borderId="11" xfId="0" applyFont="1" applyBorder="1" applyAlignment="1">
      <alignment horizontal="center"/>
    </xf>
    <xf numFmtId="0" fontId="7" fillId="0" borderId="9" xfId="0" applyFont="1" applyBorder="1" applyAlignment="1" applyProtection="1">
      <alignment horizontal="center" vertical="center"/>
      <protection locked="0"/>
    </xf>
    <xf numFmtId="0" fontId="7" fillId="0" borderId="48" xfId="0" applyFont="1" applyBorder="1" applyAlignment="1" applyProtection="1">
      <alignment horizontal="center" vertical="center"/>
      <protection locked="0"/>
    </xf>
    <xf numFmtId="0" fontId="7" fillId="0" borderId="11" xfId="0" applyFont="1" applyBorder="1" applyAlignment="1" applyProtection="1">
      <alignment horizontal="center" vertical="center"/>
      <protection locked="0"/>
    </xf>
    <xf numFmtId="0" fontId="8" fillId="0" borderId="9" xfId="0" applyFont="1" applyBorder="1" applyAlignment="1">
      <alignment horizontal="center" vertical="center"/>
    </xf>
    <xf numFmtId="0" fontId="8" fillId="0" borderId="48" xfId="0" applyFont="1" applyBorder="1" applyAlignment="1">
      <alignment horizontal="center" vertical="center"/>
    </xf>
    <xf numFmtId="0" fontId="8" fillId="0" borderId="11" xfId="0" applyFont="1" applyBorder="1" applyAlignment="1">
      <alignment horizontal="center" vertical="center"/>
    </xf>
    <xf numFmtId="0" fontId="8" fillId="0" borderId="0" xfId="0" applyFont="1" applyAlignment="1">
      <alignment horizontal="left"/>
    </xf>
    <xf numFmtId="0" fontId="2" fillId="0" borderId="0" xfId="0" applyFont="1" applyAlignment="1">
      <alignment horizontal="center"/>
    </xf>
    <xf numFmtId="0" fontId="2" fillId="0" borderId="6" xfId="0" applyFont="1" applyBorder="1" applyAlignment="1">
      <alignment horizontal="center"/>
    </xf>
    <xf numFmtId="0" fontId="2" fillId="0" borderId="0" xfId="0" applyFont="1" applyAlignment="1">
      <alignment horizontal="right"/>
    </xf>
    <xf numFmtId="20" fontId="0" fillId="0" borderId="6" xfId="0" applyNumberFormat="1" applyBorder="1" applyAlignment="1" applyProtection="1">
      <alignment horizontal="center" vertical="center"/>
      <protection locked="0"/>
    </xf>
    <xf numFmtId="0" fontId="0" fillId="0" borderId="6" xfId="0" applyBorder="1" applyAlignment="1" applyProtection="1">
      <alignment horizontal="center" vertical="center"/>
      <protection locked="0"/>
    </xf>
    <xf numFmtId="0" fontId="0" fillId="0" borderId="6" xfId="0" applyBorder="1" applyAlignment="1">
      <alignment horizontal="right"/>
    </xf>
    <xf numFmtId="14" fontId="0" fillId="0" borderId="6" xfId="0" applyNumberFormat="1" applyBorder="1" applyAlignment="1">
      <alignment horizontal="left"/>
    </xf>
    <xf numFmtId="0" fontId="0" fillId="0" borderId="6" xfId="0" applyBorder="1" applyAlignment="1">
      <alignment horizontal="left"/>
    </xf>
    <xf numFmtId="0" fontId="0" fillId="0" borderId="2" xfId="0" applyBorder="1" applyAlignment="1">
      <alignment horizontal="left" vertical="top"/>
    </xf>
    <xf numFmtId="0" fontId="0" fillId="0" borderId="3" xfId="0" applyBorder="1" applyAlignment="1">
      <alignment horizontal="left" vertical="top"/>
    </xf>
    <xf numFmtId="0" fontId="0" fillId="0" borderId="4" xfId="0" applyBorder="1" applyAlignment="1">
      <alignment horizontal="left" vertical="top"/>
    </xf>
    <xf numFmtId="0" fontId="0" fillId="0" borderId="5" xfId="0" applyBorder="1" applyAlignment="1">
      <alignment horizontal="left" vertical="top"/>
    </xf>
    <xf numFmtId="0" fontId="0" fillId="0" borderId="6" xfId="0" applyBorder="1" applyAlignment="1">
      <alignment horizontal="left" vertical="top"/>
    </xf>
    <xf numFmtId="0" fontId="0" fillId="0" borderId="7" xfId="0" applyBorder="1" applyAlignment="1">
      <alignment horizontal="left" vertical="top"/>
    </xf>
    <xf numFmtId="0" fontId="7" fillId="0" borderId="2" xfId="0" applyFont="1" applyBorder="1" applyAlignment="1" applyProtection="1">
      <alignment horizontal="left" vertical="top" wrapText="1"/>
    </xf>
    <xf numFmtId="0" fontId="7" fillId="0" borderId="3" xfId="0" applyFont="1" applyBorder="1" applyAlignment="1" applyProtection="1">
      <alignment horizontal="left" vertical="top" wrapText="1"/>
    </xf>
    <xf numFmtId="0" fontId="7" fillId="0" borderId="4" xfId="0" applyFont="1" applyBorder="1" applyAlignment="1" applyProtection="1">
      <alignment horizontal="left" vertical="top" wrapText="1"/>
    </xf>
    <xf numFmtId="0" fontId="7" fillId="0" borderId="8" xfId="0" applyFont="1" applyBorder="1" applyAlignment="1" applyProtection="1">
      <alignment horizontal="left" vertical="top" wrapText="1"/>
    </xf>
    <xf numFmtId="0" fontId="7" fillId="0" borderId="0" xfId="0" applyFont="1" applyBorder="1" applyAlignment="1" applyProtection="1">
      <alignment horizontal="left" vertical="top" wrapText="1"/>
    </xf>
    <xf numFmtId="0" fontId="7" fillId="0" borderId="58" xfId="0" applyFont="1" applyBorder="1" applyAlignment="1" applyProtection="1">
      <alignment horizontal="left" vertical="top" wrapText="1"/>
    </xf>
    <xf numFmtId="0" fontId="7" fillId="0" borderId="5" xfId="0" applyFont="1" applyBorder="1" applyAlignment="1" applyProtection="1">
      <alignment horizontal="left" vertical="top" wrapText="1"/>
    </xf>
    <xf numFmtId="0" fontId="7" fillId="0" borderId="6" xfId="0" applyFont="1" applyBorder="1" applyAlignment="1" applyProtection="1">
      <alignment horizontal="left" vertical="top" wrapText="1"/>
    </xf>
    <xf numFmtId="0" fontId="7" fillId="0" borderId="7" xfId="0" applyFont="1" applyBorder="1" applyAlignment="1" applyProtection="1">
      <alignment horizontal="left" vertical="top" wrapText="1"/>
    </xf>
    <xf numFmtId="0" fontId="7" fillId="0" borderId="2" xfId="0" applyFont="1" applyBorder="1" applyAlignment="1" applyProtection="1">
      <alignment horizontal="left" vertical="top"/>
    </xf>
    <xf numFmtId="0" fontId="7" fillId="0" borderId="3" xfId="0" applyFont="1" applyBorder="1" applyAlignment="1" applyProtection="1">
      <alignment horizontal="left" vertical="top"/>
    </xf>
    <xf numFmtId="0" fontId="7" fillId="0" borderId="4" xfId="0" applyFont="1" applyBorder="1" applyAlignment="1" applyProtection="1">
      <alignment horizontal="left" vertical="top"/>
    </xf>
    <xf numFmtId="0" fontId="7" fillId="0" borderId="8" xfId="0" applyFont="1" applyBorder="1" applyAlignment="1" applyProtection="1">
      <alignment horizontal="left" vertical="top"/>
    </xf>
    <xf numFmtId="0" fontId="7" fillId="0" borderId="0" xfId="0" applyFont="1" applyBorder="1" applyAlignment="1" applyProtection="1">
      <alignment horizontal="left" vertical="top"/>
    </xf>
    <xf numFmtId="0" fontId="7" fillId="0" borderId="58" xfId="0" applyFont="1" applyBorder="1" applyAlignment="1" applyProtection="1">
      <alignment horizontal="left" vertical="top"/>
    </xf>
    <xf numFmtId="0" fontId="7" fillId="0" borderId="5" xfId="0" applyFont="1" applyBorder="1" applyAlignment="1" applyProtection="1">
      <alignment horizontal="left" vertical="top"/>
    </xf>
    <xf numFmtId="0" fontId="7" fillId="0" borderId="6" xfId="0" applyFont="1" applyBorder="1" applyAlignment="1" applyProtection="1">
      <alignment horizontal="left" vertical="top"/>
    </xf>
    <xf numFmtId="0" fontId="7" fillId="0" borderId="7" xfId="0" applyFont="1" applyBorder="1" applyAlignment="1" applyProtection="1">
      <alignment horizontal="left" vertical="top"/>
    </xf>
    <xf numFmtId="0" fontId="0" fillId="0" borderId="8" xfId="0" applyBorder="1" applyAlignment="1">
      <alignment horizontal="left" vertical="top"/>
    </xf>
    <xf numFmtId="0" fontId="0" fillId="0" borderId="0" xfId="0" applyBorder="1" applyAlignment="1">
      <alignment horizontal="left" vertical="top"/>
    </xf>
    <xf numFmtId="0" fontId="0" fillId="0" borderId="58" xfId="0" applyBorder="1" applyAlignment="1">
      <alignment horizontal="left" vertical="top"/>
    </xf>
    <xf numFmtId="0" fontId="9" fillId="0" borderId="2" xfId="0" applyFont="1" applyBorder="1" applyAlignment="1" applyProtection="1">
      <alignment horizontal="left" vertical="top" wrapText="1"/>
      <protection locked="0"/>
    </xf>
    <xf numFmtId="0" fontId="9" fillId="0" borderId="3" xfId="0" applyFont="1" applyBorder="1" applyAlignment="1" applyProtection="1">
      <alignment horizontal="left" vertical="top" wrapText="1"/>
      <protection locked="0"/>
    </xf>
    <xf numFmtId="0" fontId="9" fillId="0" borderId="4" xfId="0" applyFont="1" applyBorder="1" applyAlignment="1" applyProtection="1">
      <alignment horizontal="left" vertical="top" wrapText="1"/>
      <protection locked="0"/>
    </xf>
    <xf numFmtId="0" fontId="9" fillId="0" borderId="5" xfId="0" applyFont="1" applyBorder="1" applyAlignment="1" applyProtection="1">
      <alignment horizontal="left" vertical="top" wrapText="1"/>
      <protection locked="0"/>
    </xf>
    <xf numFmtId="0" fontId="9" fillId="0" borderId="6" xfId="0" applyFont="1" applyBorder="1" applyAlignment="1" applyProtection="1">
      <alignment horizontal="left" vertical="top" wrapText="1"/>
      <protection locked="0"/>
    </xf>
    <xf numFmtId="0" fontId="9" fillId="0" borderId="7" xfId="0" applyFont="1" applyBorder="1" applyAlignment="1" applyProtection="1">
      <alignment horizontal="left" vertical="top" wrapText="1"/>
      <protection locked="0"/>
    </xf>
    <xf numFmtId="0" fontId="7" fillId="0" borderId="2" xfId="0" applyFont="1" applyBorder="1" applyAlignment="1">
      <alignment horizontal="left" vertical="top" wrapText="1"/>
    </xf>
    <xf numFmtId="0" fontId="7" fillId="0" borderId="3" xfId="0" applyFont="1" applyBorder="1" applyAlignment="1">
      <alignment horizontal="left" vertical="top" wrapText="1"/>
    </xf>
    <xf numFmtId="0" fontId="7" fillId="0" borderId="4" xfId="0" applyFont="1" applyBorder="1" applyAlignment="1">
      <alignment horizontal="left" vertical="top" wrapText="1"/>
    </xf>
    <xf numFmtId="0" fontId="7" fillId="0" borderId="5" xfId="0" applyFont="1" applyBorder="1" applyAlignment="1">
      <alignment horizontal="left" vertical="top" wrapText="1"/>
    </xf>
    <xf numFmtId="0" fontId="7" fillId="0" borderId="6" xfId="0" applyFont="1" applyBorder="1" applyAlignment="1">
      <alignment horizontal="left" vertical="top" wrapText="1"/>
    </xf>
    <xf numFmtId="0" fontId="7" fillId="0" borderId="7" xfId="0" applyFont="1" applyBorder="1" applyAlignment="1">
      <alignment horizontal="left" vertical="top" wrapText="1"/>
    </xf>
    <xf numFmtId="0" fontId="0" fillId="0" borderId="60" xfId="0" applyBorder="1" applyAlignment="1">
      <alignment horizontal="right"/>
    </xf>
    <xf numFmtId="0" fontId="0" fillId="0" borderId="49" xfId="0" applyBorder="1" applyAlignment="1">
      <alignment horizontal="right"/>
    </xf>
    <xf numFmtId="0" fontId="0" fillId="0" borderId="37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27" xfId="0" applyBorder="1" applyAlignment="1">
      <alignment horizontal="center"/>
    </xf>
    <xf numFmtId="0" fontId="0" fillId="0" borderId="62" xfId="0" applyBorder="1" applyAlignment="1">
      <alignment horizontal="right"/>
    </xf>
    <xf numFmtId="0" fontId="0" fillId="0" borderId="47" xfId="0" applyBorder="1" applyAlignment="1">
      <alignment horizontal="right"/>
    </xf>
    <xf numFmtId="0" fontId="0" fillId="0" borderId="12" xfId="0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46" xfId="0" applyBorder="1" applyAlignment="1">
      <alignment horizontal="center"/>
    </xf>
    <xf numFmtId="0" fontId="0" fillId="0" borderId="33" xfId="0" applyBorder="1" applyAlignment="1">
      <alignment horizontal="center"/>
    </xf>
    <xf numFmtId="0" fontId="0" fillId="0" borderId="43" xfId="0" applyBorder="1" applyAlignment="1">
      <alignment horizontal="center"/>
    </xf>
    <xf numFmtId="14" fontId="0" fillId="0" borderId="3" xfId="0" applyNumberFormat="1" applyBorder="1" applyAlignment="1">
      <alignment horizontal="center"/>
    </xf>
    <xf numFmtId="14" fontId="0" fillId="0" borderId="0" xfId="0" applyNumberFormat="1" applyAlignment="1">
      <alignment horizontal="center"/>
    </xf>
    <xf numFmtId="0" fontId="0" fillId="0" borderId="62" xfId="0" applyBorder="1" applyAlignment="1">
      <alignment horizontal="center"/>
    </xf>
    <xf numFmtId="0" fontId="0" fillId="0" borderId="47" xfId="0" applyBorder="1" applyAlignment="1">
      <alignment horizontal="center"/>
    </xf>
    <xf numFmtId="0" fontId="0" fillId="0" borderId="63" xfId="0" applyBorder="1" applyAlignment="1">
      <alignment horizontal="center"/>
    </xf>
    <xf numFmtId="0" fontId="0" fillId="0" borderId="60" xfId="0" applyBorder="1" applyAlignment="1">
      <alignment horizontal="center"/>
    </xf>
    <xf numFmtId="0" fontId="0" fillId="0" borderId="49" xfId="0" applyBorder="1" applyAlignment="1">
      <alignment horizontal="center"/>
    </xf>
    <xf numFmtId="0" fontId="0" fillId="0" borderId="61" xfId="0" applyBorder="1" applyAlignment="1">
      <alignment horizontal="center"/>
    </xf>
    <xf numFmtId="0" fontId="0" fillId="0" borderId="24" xfId="0" applyBorder="1" applyAlignment="1">
      <alignment horizontal="center"/>
    </xf>
    <xf numFmtId="0" fontId="18" fillId="0" borderId="0" xfId="0" applyFont="1" applyAlignment="1">
      <alignment horizontal="center" vertical="center"/>
    </xf>
    <xf numFmtId="0" fontId="9" fillId="0" borderId="0" xfId="0" applyFont="1" applyAlignment="1">
      <alignment horizontal="center"/>
    </xf>
    <xf numFmtId="14" fontId="0" fillId="0" borderId="0" xfId="0" applyNumberFormat="1" applyAlignment="1" applyProtection="1">
      <alignment horizontal="center"/>
      <protection locked="0"/>
    </xf>
    <xf numFmtId="0" fontId="0" fillId="0" borderId="62" xfId="0" applyBorder="1" applyAlignment="1" applyProtection="1">
      <alignment horizontal="center"/>
      <protection locked="0"/>
    </xf>
    <xf numFmtId="0" fontId="0" fillId="0" borderId="47" xfId="0" applyBorder="1" applyAlignment="1" applyProtection="1">
      <alignment horizontal="center"/>
      <protection locked="0"/>
    </xf>
    <xf numFmtId="0" fontId="0" fillId="0" borderId="63" xfId="0" applyBorder="1" applyAlignment="1" applyProtection="1">
      <alignment horizontal="center"/>
      <protection locked="0"/>
    </xf>
    <xf numFmtId="0" fontId="0" fillId="0" borderId="60" xfId="0" applyBorder="1" applyAlignment="1" applyProtection="1">
      <alignment horizontal="center"/>
      <protection locked="0"/>
    </xf>
    <xf numFmtId="0" fontId="0" fillId="0" borderId="49" xfId="0" applyBorder="1" applyAlignment="1" applyProtection="1">
      <alignment horizontal="center"/>
      <protection locked="0"/>
    </xf>
    <xf numFmtId="0" fontId="0" fillId="0" borderId="61" xfId="0" applyBorder="1" applyAlignment="1" applyProtection="1">
      <alignment horizontal="center"/>
      <protection locked="0"/>
    </xf>
  </cellXfs>
  <cellStyles count="2">
    <cellStyle name="Prozent" xfId="1" builtinId="5"/>
    <cellStyle name="Standard" xfId="0" builtinId="0"/>
  </cellStyles>
  <dxfs count="135"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0"/>
        </patternFill>
      </fill>
    </dxf>
    <dxf>
      <font>
        <strike/>
      </font>
    </dxf>
    <dxf>
      <font>
        <strike/>
      </font>
    </dxf>
    <dxf>
      <font>
        <color theme="0"/>
      </font>
    </dxf>
    <dxf>
      <fill>
        <patternFill>
          <bgColor rgb="FFFFFF00"/>
        </patternFill>
      </fill>
    </dxf>
    <dxf>
      <font>
        <color theme="0"/>
      </font>
      <fill>
        <patternFill>
          <bgColor theme="0"/>
        </patternFill>
      </fill>
    </dxf>
    <dxf>
      <font>
        <strike/>
      </font>
    </dxf>
    <dxf>
      <font>
        <strike/>
      </font>
    </dxf>
    <dxf>
      <font>
        <color theme="0"/>
      </font>
    </dxf>
    <dxf>
      <fill>
        <patternFill>
          <bgColor rgb="FFFFFF00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theme="0"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strike/>
      </font>
    </dxf>
    <dxf>
      <font>
        <strike/>
      </font>
    </dxf>
    <dxf>
      <font>
        <color theme="0"/>
      </font>
    </dxf>
    <dxf>
      <fill>
        <patternFill>
          <bgColor rgb="FFFFFF00"/>
        </patternFill>
      </fill>
    </dxf>
    <dxf>
      <font>
        <color theme="0"/>
      </font>
      <fill>
        <patternFill>
          <bgColor theme="0"/>
        </patternFill>
      </fill>
    </dxf>
    <dxf>
      <font>
        <strike/>
      </font>
    </dxf>
    <dxf>
      <font>
        <strike/>
      </font>
    </dxf>
    <dxf>
      <font>
        <color theme="0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ill>
        <patternFill>
          <bgColor rgb="FFFFFF00"/>
        </patternFill>
      </fill>
    </dxf>
    <dxf>
      <font>
        <color theme="0"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color theme="0"/>
      </font>
    </dxf>
    <dxf>
      <font>
        <color theme="0"/>
      </font>
      <fill>
        <patternFill>
          <bgColor theme="0"/>
        </patternFill>
      </fill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color theme="0"/>
      </font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/>
      </font>
    </dxf>
    <dxf>
      <font>
        <color rgb="FFFF0000"/>
      </font>
      <fill>
        <patternFill>
          <bgColor rgb="FFFF0000"/>
        </patternFill>
      </fill>
    </dxf>
    <dxf>
      <font>
        <color theme="0"/>
      </font>
    </dxf>
    <dxf>
      <font>
        <color rgb="FFFF000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</dxf>
    <dxf>
      <font>
        <color rgb="FF92D050"/>
      </font>
      <fill>
        <patternFill>
          <bgColor rgb="FF92D05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66675</xdr:colOff>
          <xdr:row>18</xdr:row>
          <xdr:rowOff>28575</xdr:rowOff>
        </xdr:from>
        <xdr:to>
          <xdr:col>17</xdr:col>
          <xdr:colOff>542925</xdr:colOff>
          <xdr:row>21</xdr:row>
          <xdr:rowOff>85725</xdr:rowOff>
        </xdr:to>
        <xdr:sp macro="" textlink="">
          <xdr:nvSpPr>
            <xdr:cNvPr id="7175" name="Button 7" hidden="1">
              <a:extLst>
                <a:ext uri="{63B3BB69-23CF-44E3-9099-C40C66FF867C}">
                  <a14:compatExt spid="_x0000_s71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</a:rPr>
                <a:t>PDF erzeugen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37</xdr:col>
          <xdr:colOff>19050</xdr:colOff>
          <xdr:row>1</xdr:row>
          <xdr:rowOff>0</xdr:rowOff>
        </xdr:from>
        <xdr:to>
          <xdr:col>39</xdr:col>
          <xdr:colOff>752475</xdr:colOff>
          <xdr:row>4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</a:rPr>
                <a:t>Fahrplan drucken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114300</xdr:colOff>
          <xdr:row>2</xdr:row>
          <xdr:rowOff>85725</xdr:rowOff>
        </xdr:from>
        <xdr:to>
          <xdr:col>26</xdr:col>
          <xdr:colOff>628650</xdr:colOff>
          <xdr:row>4</xdr:row>
          <xdr:rowOff>171450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</a:rPr>
                <a:t>Aufstellungszettel Drucken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92</xdr:col>
      <xdr:colOff>0</xdr:colOff>
      <xdr:row>0</xdr:row>
      <xdr:rowOff>104775</xdr:rowOff>
    </xdr:from>
    <xdr:to>
      <xdr:col>97</xdr:col>
      <xdr:colOff>84582</xdr:colOff>
      <xdr:row>3</xdr:row>
      <xdr:rowOff>179451</xdr:rowOff>
    </xdr:to>
    <xdr:pic>
      <xdr:nvPicPr>
        <xdr:cNvPr id="2" name="Grafik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63000" y="104775"/>
          <a:ext cx="560832" cy="64617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121</xdr:col>
          <xdr:colOff>19050</xdr:colOff>
          <xdr:row>4</xdr:row>
          <xdr:rowOff>114300</xdr:rowOff>
        </xdr:from>
        <xdr:to>
          <xdr:col>125</xdr:col>
          <xdr:colOff>9525</xdr:colOff>
          <xdr:row>9</xdr:row>
          <xdr:rowOff>38100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</a:rPr>
                <a:t>Spielbericht für Mannschaftsführer und als Backup Drucken.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121</xdr:col>
          <xdr:colOff>28575</xdr:colOff>
          <xdr:row>13</xdr:row>
          <xdr:rowOff>9525</xdr:rowOff>
        </xdr:from>
        <xdr:to>
          <xdr:col>125</xdr:col>
          <xdr:colOff>19050</xdr:colOff>
          <xdr:row>17</xdr:row>
          <xdr:rowOff>76200</xdr:rowOff>
        </xdr:to>
        <xdr:sp macro="" textlink="">
          <xdr:nvSpPr>
            <xdr:cNvPr id="6149" name="Button 5" hidden="1">
              <a:extLst>
                <a:ext uri="{63B3BB69-23CF-44E3-9099-C40C66FF867C}">
                  <a14:compatExt spid="_x0000_s61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</a:rPr>
                <a:t>Schiedsrichterzettel Drucken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121</xdr:col>
          <xdr:colOff>9525</xdr:colOff>
          <xdr:row>26</xdr:row>
          <xdr:rowOff>85725</xdr:rowOff>
        </xdr:from>
        <xdr:to>
          <xdr:col>124</xdr:col>
          <xdr:colOff>752475</xdr:colOff>
          <xdr:row>33</xdr:row>
          <xdr:rowOff>0</xdr:rowOff>
        </xdr:to>
        <xdr:sp macro="" textlink="">
          <xdr:nvSpPr>
            <xdr:cNvPr id="6151" name="Button 7" hidden="1">
              <a:extLst>
                <a:ext uri="{63B3BB69-23CF-44E3-9099-C40C66FF867C}">
                  <a14:compatExt spid="_x0000_s61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</a:rPr>
                <a:t>Spielbericht Drucken wenn die Mindestanforderungen erfüllt sind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121</xdr:col>
          <xdr:colOff>19050</xdr:colOff>
          <xdr:row>33</xdr:row>
          <xdr:rowOff>180975</xdr:rowOff>
        </xdr:from>
        <xdr:to>
          <xdr:col>125</xdr:col>
          <xdr:colOff>9525</xdr:colOff>
          <xdr:row>38</xdr:row>
          <xdr:rowOff>0</xdr:rowOff>
        </xdr:to>
        <xdr:sp macro="" textlink="">
          <xdr:nvSpPr>
            <xdr:cNvPr id="6153" name="Button 9" hidden="1">
              <a:extLst>
                <a:ext uri="{63B3BB69-23CF-44E3-9099-C40C66FF867C}">
                  <a14:compatExt spid="_x0000_s61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</a:rPr>
                <a:t>Spielbericht Drucken wenn die Mindestanforderungen </a:t>
              </a:r>
              <a:r>
                <a:rPr lang="de-DE" sz="1100" b="1" i="0" u="none" strike="noStrike" baseline="0">
                  <a:solidFill>
                    <a:srgbClr val="000000"/>
                  </a:solidFill>
                  <a:latin typeface="Calibri"/>
                </a:rPr>
                <a:t>nicht</a:t>
              </a: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</a:rPr>
                <a:t> erfüllt sind.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46</xdr:col>
      <xdr:colOff>57150</xdr:colOff>
      <xdr:row>0</xdr:row>
      <xdr:rowOff>28575</xdr:rowOff>
    </xdr:from>
    <xdr:to>
      <xdr:col>48</xdr:col>
      <xdr:colOff>142875</xdr:colOff>
      <xdr:row>2</xdr:row>
      <xdr:rowOff>185323</xdr:rowOff>
    </xdr:to>
    <xdr:pic>
      <xdr:nvPicPr>
        <xdr:cNvPr id="2" name="Grafik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67750" y="28575"/>
          <a:ext cx="466725" cy="537748"/>
        </a:xfrm>
        <a:prstGeom prst="rect">
          <a:avLst/>
        </a:prstGeom>
      </xdr:spPr>
    </xdr:pic>
    <xdr:clientData/>
  </xdr:twoCellAnchor>
  <xdr:oneCellAnchor>
    <xdr:from>
      <xdr:col>46</xdr:col>
      <xdr:colOff>57150</xdr:colOff>
      <xdr:row>40</xdr:row>
      <xdr:rowOff>28575</xdr:rowOff>
    </xdr:from>
    <xdr:ext cx="466725" cy="537748"/>
    <xdr:pic>
      <xdr:nvPicPr>
        <xdr:cNvPr id="3" name="Grafik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67750" y="28575"/>
          <a:ext cx="466725" cy="537748"/>
        </a:xfrm>
        <a:prstGeom prst="rect">
          <a:avLst/>
        </a:prstGeom>
      </xdr:spPr>
    </xdr:pic>
    <xdr:clientData/>
  </xdr:oneCellAnchor>
  <xdr:oneCellAnchor>
    <xdr:from>
      <xdr:col>46</xdr:col>
      <xdr:colOff>57150</xdr:colOff>
      <xdr:row>80</xdr:row>
      <xdr:rowOff>28575</xdr:rowOff>
    </xdr:from>
    <xdr:ext cx="466725" cy="537748"/>
    <xdr:pic>
      <xdr:nvPicPr>
        <xdr:cNvPr id="10" name="Grafik 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67750" y="7115175"/>
          <a:ext cx="466725" cy="537748"/>
        </a:xfrm>
        <a:prstGeom prst="rect">
          <a:avLst/>
        </a:prstGeom>
      </xdr:spPr>
    </xdr:pic>
    <xdr:clientData/>
  </xdr:oneCellAnchor>
  <xdr:oneCellAnchor>
    <xdr:from>
      <xdr:col>46</xdr:col>
      <xdr:colOff>57150</xdr:colOff>
      <xdr:row>120</xdr:row>
      <xdr:rowOff>28575</xdr:rowOff>
    </xdr:from>
    <xdr:ext cx="466725" cy="537748"/>
    <xdr:pic>
      <xdr:nvPicPr>
        <xdr:cNvPr id="11" name="Grafik 1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67750" y="7115175"/>
          <a:ext cx="466725" cy="537748"/>
        </a:xfrm>
        <a:prstGeom prst="rect">
          <a:avLst/>
        </a:prstGeom>
      </xdr:spPr>
    </xdr:pic>
    <xdr:clientData/>
  </xdr:oneCellAnchor>
  <xdr:oneCellAnchor>
    <xdr:from>
      <xdr:col>46</xdr:col>
      <xdr:colOff>57150</xdr:colOff>
      <xdr:row>160</xdr:row>
      <xdr:rowOff>28575</xdr:rowOff>
    </xdr:from>
    <xdr:ext cx="466725" cy="537748"/>
    <xdr:pic>
      <xdr:nvPicPr>
        <xdr:cNvPr id="12" name="Grafik 1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67750" y="7115175"/>
          <a:ext cx="466725" cy="537748"/>
        </a:xfrm>
        <a:prstGeom prst="rect">
          <a:avLst/>
        </a:prstGeom>
      </xdr:spPr>
    </xdr:pic>
    <xdr:clientData/>
  </xdr:oneCellAnchor>
  <xdr:oneCellAnchor>
    <xdr:from>
      <xdr:col>46</xdr:col>
      <xdr:colOff>57150</xdr:colOff>
      <xdr:row>200</xdr:row>
      <xdr:rowOff>28575</xdr:rowOff>
    </xdr:from>
    <xdr:ext cx="466725" cy="537748"/>
    <xdr:pic>
      <xdr:nvPicPr>
        <xdr:cNvPr id="13" name="Grafik 1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67750" y="7115175"/>
          <a:ext cx="466725" cy="537748"/>
        </a:xfrm>
        <a:prstGeom prst="rect">
          <a:avLst/>
        </a:prstGeom>
      </xdr:spPr>
    </xdr:pic>
    <xdr:clientData/>
  </xdr:oneCellAnchor>
  <xdr:oneCellAnchor>
    <xdr:from>
      <xdr:col>46</xdr:col>
      <xdr:colOff>57150</xdr:colOff>
      <xdr:row>240</xdr:row>
      <xdr:rowOff>28575</xdr:rowOff>
    </xdr:from>
    <xdr:ext cx="466725" cy="537748"/>
    <xdr:pic>
      <xdr:nvPicPr>
        <xdr:cNvPr id="14" name="Grafik 1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67750" y="7115175"/>
          <a:ext cx="466725" cy="537748"/>
        </a:xfrm>
        <a:prstGeom prst="rect">
          <a:avLst/>
        </a:prstGeom>
      </xdr:spPr>
    </xdr:pic>
    <xdr:clientData/>
  </xdr:oneCellAnchor>
  <xdr:oneCellAnchor>
    <xdr:from>
      <xdr:col>46</xdr:col>
      <xdr:colOff>57150</xdr:colOff>
      <xdr:row>280</xdr:row>
      <xdr:rowOff>28575</xdr:rowOff>
    </xdr:from>
    <xdr:ext cx="466725" cy="537748"/>
    <xdr:pic>
      <xdr:nvPicPr>
        <xdr:cNvPr id="15" name="Grafik 1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67750" y="7115175"/>
          <a:ext cx="466725" cy="537748"/>
        </a:xfrm>
        <a:prstGeom prst="rect">
          <a:avLst/>
        </a:prstGeom>
      </xdr:spPr>
    </xdr:pic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46</xdr:col>
      <xdr:colOff>57150</xdr:colOff>
      <xdr:row>0</xdr:row>
      <xdr:rowOff>28575</xdr:rowOff>
    </xdr:from>
    <xdr:to>
      <xdr:col>48</xdr:col>
      <xdr:colOff>142875</xdr:colOff>
      <xdr:row>2</xdr:row>
      <xdr:rowOff>185323</xdr:rowOff>
    </xdr:to>
    <xdr:pic>
      <xdr:nvPicPr>
        <xdr:cNvPr id="2" name="Grafik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67750" y="28575"/>
          <a:ext cx="466725" cy="53774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3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7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"/>
  <dimension ref="A1:C50"/>
  <sheetViews>
    <sheetView workbookViewId="0">
      <selection activeCell="F9" sqref="F9"/>
    </sheetView>
  </sheetViews>
  <sheetFormatPr baseColWidth="10" defaultRowHeight="15" x14ac:dyDescent="0.25"/>
  <cols>
    <col min="1" max="1" width="15" customWidth="1"/>
    <col min="2" max="2" width="13.7109375" customWidth="1"/>
    <col min="3" max="3" width="20.28515625" bestFit="1" customWidth="1"/>
  </cols>
  <sheetData>
    <row r="1" spans="1:3" x14ac:dyDescent="0.25">
      <c r="A1" t="s">
        <v>27</v>
      </c>
      <c r="B1" t="s">
        <v>28</v>
      </c>
      <c r="C1" t="s">
        <v>29</v>
      </c>
    </row>
    <row r="2" spans="1:3" x14ac:dyDescent="0.25">
      <c r="A2" t="str">
        <f>IF(Grundeinstellungen!F36=0,"",Grundeinstellungen!F36)</f>
        <v/>
      </c>
      <c r="B2" t="str">
        <f>IF(Grundeinstellungen!H36=0,"",Grundeinstellungen!H36)</f>
        <v/>
      </c>
      <c r="C2" t="str">
        <f>IF(A2=0,"",A2 &amp; " " &amp; B2)</f>
        <v xml:space="preserve"> </v>
      </c>
    </row>
    <row r="3" spans="1:3" x14ac:dyDescent="0.25">
      <c r="A3" t="str">
        <f>IF(Grundeinstellungen!F37=0,"",Grundeinstellungen!F37)</f>
        <v/>
      </c>
      <c r="B3" t="str">
        <f>IF(Grundeinstellungen!H37=0,"",Grundeinstellungen!H37)</f>
        <v/>
      </c>
      <c r="C3" t="str">
        <f t="shared" ref="C3:C50" si="0">IF(A3=0,"",A3 &amp; " " &amp; B3)</f>
        <v xml:space="preserve"> </v>
      </c>
    </row>
    <row r="4" spans="1:3" x14ac:dyDescent="0.25">
      <c r="A4" t="s">
        <v>750</v>
      </c>
      <c r="B4" t="s">
        <v>750</v>
      </c>
      <c r="C4" t="str">
        <f t="shared" si="0"/>
        <v>n n</v>
      </c>
    </row>
    <row r="5" spans="1:3" x14ac:dyDescent="0.25">
      <c r="A5" t="s">
        <v>415</v>
      </c>
      <c r="B5" t="s">
        <v>416</v>
      </c>
      <c r="C5" t="str">
        <f t="shared" ref="C5:C27" si="1">IF(A5=0,"",A5 &amp; " " &amp; B5)</f>
        <v>Tobias Dell</v>
      </c>
    </row>
    <row r="6" spans="1:3" x14ac:dyDescent="0.25">
      <c r="A6" t="s">
        <v>371</v>
      </c>
      <c r="B6" t="s">
        <v>417</v>
      </c>
      <c r="C6" t="str">
        <f t="shared" si="1"/>
        <v>Andreas Deschle</v>
      </c>
    </row>
    <row r="7" spans="1:3" x14ac:dyDescent="0.25">
      <c r="A7" t="s">
        <v>68</v>
      </c>
      <c r="B7" t="s">
        <v>425</v>
      </c>
      <c r="C7" t="str">
        <f t="shared" si="1"/>
        <v>Florian Draxler</v>
      </c>
    </row>
    <row r="8" spans="1:3" x14ac:dyDescent="0.25">
      <c r="A8" t="s">
        <v>354</v>
      </c>
      <c r="B8" t="s">
        <v>355</v>
      </c>
      <c r="C8" t="str">
        <f t="shared" si="1"/>
        <v>Sebastian Düster</v>
      </c>
    </row>
    <row r="9" spans="1:3" x14ac:dyDescent="0.25">
      <c r="A9" t="s">
        <v>436</v>
      </c>
      <c r="B9" t="s">
        <v>437</v>
      </c>
      <c r="C9" t="str">
        <f t="shared" si="1"/>
        <v>Robert Egert</v>
      </c>
    </row>
    <row r="10" spans="1:3" x14ac:dyDescent="0.25">
      <c r="A10" t="s">
        <v>413</v>
      </c>
      <c r="B10" t="s">
        <v>414</v>
      </c>
      <c r="C10" t="str">
        <f t="shared" si="1"/>
        <v>Thomas Engl</v>
      </c>
    </row>
    <row r="11" spans="1:3" x14ac:dyDescent="0.25">
      <c r="A11" t="s">
        <v>23</v>
      </c>
      <c r="B11" t="s">
        <v>24</v>
      </c>
      <c r="C11" t="str">
        <f t="shared" si="1"/>
        <v>Roberto Frankenstein</v>
      </c>
    </row>
    <row r="12" spans="1:3" x14ac:dyDescent="0.25">
      <c r="A12" t="s">
        <v>23</v>
      </c>
      <c r="B12" t="s">
        <v>24</v>
      </c>
      <c r="C12" t="str">
        <f t="shared" si="1"/>
        <v>Roberto Frankenstein</v>
      </c>
    </row>
    <row r="13" spans="1:3" x14ac:dyDescent="0.25">
      <c r="A13" t="s">
        <v>23</v>
      </c>
      <c r="B13" t="s">
        <v>24</v>
      </c>
      <c r="C13" t="str">
        <f t="shared" si="1"/>
        <v>Roberto Frankenstein</v>
      </c>
    </row>
    <row r="14" spans="1:3" x14ac:dyDescent="0.25">
      <c r="A14" t="s">
        <v>391</v>
      </c>
      <c r="B14" t="s">
        <v>428</v>
      </c>
      <c r="C14" t="str">
        <f t="shared" si="1"/>
        <v>Julian Freisinger</v>
      </c>
    </row>
    <row r="15" spans="1:3" x14ac:dyDescent="0.25">
      <c r="A15" t="s">
        <v>354</v>
      </c>
      <c r="B15" t="s">
        <v>438</v>
      </c>
      <c r="C15" t="str">
        <f t="shared" si="1"/>
        <v>Sebastian Glaowin</v>
      </c>
    </row>
    <row r="16" spans="1:3" x14ac:dyDescent="0.25">
      <c r="A16" t="s">
        <v>429</v>
      </c>
      <c r="B16" t="s">
        <v>430</v>
      </c>
      <c r="C16" t="str">
        <f t="shared" si="1"/>
        <v>Manfred Hartmann</v>
      </c>
    </row>
    <row r="17" spans="1:3" x14ac:dyDescent="0.25">
      <c r="A17" t="s">
        <v>426</v>
      </c>
      <c r="B17" t="s">
        <v>427</v>
      </c>
      <c r="C17" t="str">
        <f t="shared" si="1"/>
        <v>Christian Heufelder</v>
      </c>
    </row>
    <row r="18" spans="1:3" x14ac:dyDescent="0.25">
      <c r="A18" t="s">
        <v>420</v>
      </c>
      <c r="B18" t="s">
        <v>432</v>
      </c>
      <c r="C18" t="str">
        <f t="shared" si="1"/>
        <v>Martin Klein</v>
      </c>
    </row>
    <row r="19" spans="1:3" x14ac:dyDescent="0.25">
      <c r="A19" t="s">
        <v>420</v>
      </c>
      <c r="B19" t="s">
        <v>421</v>
      </c>
      <c r="C19" t="str">
        <f t="shared" si="1"/>
        <v>Martin Lechner</v>
      </c>
    </row>
    <row r="20" spans="1:3" x14ac:dyDescent="0.25">
      <c r="A20" t="s">
        <v>397</v>
      </c>
      <c r="B20" t="s">
        <v>424</v>
      </c>
      <c r="C20" t="str">
        <f t="shared" si="1"/>
        <v>Stefanie Oesterle</v>
      </c>
    </row>
    <row r="21" spans="1:3" x14ac:dyDescent="0.25">
      <c r="A21" t="s">
        <v>418</v>
      </c>
      <c r="B21" t="s">
        <v>419</v>
      </c>
      <c r="C21" t="str">
        <f t="shared" si="1"/>
        <v>Daniel Richter</v>
      </c>
    </row>
    <row r="22" spans="1:3" x14ac:dyDescent="0.25">
      <c r="A22" t="s">
        <v>422</v>
      </c>
      <c r="B22" t="s">
        <v>423</v>
      </c>
      <c r="C22" t="str">
        <f t="shared" si="1"/>
        <v>Wolfgang Riedl</v>
      </c>
    </row>
    <row r="23" spans="1:3" x14ac:dyDescent="0.25">
      <c r="A23" t="s">
        <v>433</v>
      </c>
      <c r="B23" t="s">
        <v>434</v>
      </c>
      <c r="C23" t="str">
        <f t="shared" si="1"/>
        <v>Susanne Ruch</v>
      </c>
    </row>
    <row r="24" spans="1:3" x14ac:dyDescent="0.25">
      <c r="A24" t="s">
        <v>354</v>
      </c>
      <c r="B24" t="s">
        <v>431</v>
      </c>
      <c r="C24" t="str">
        <f t="shared" si="1"/>
        <v>Sebastian Schmid</v>
      </c>
    </row>
    <row r="25" spans="1:3" x14ac:dyDescent="0.25">
      <c r="A25" t="s">
        <v>25</v>
      </c>
      <c r="B25" t="s">
        <v>26</v>
      </c>
      <c r="C25" t="str">
        <f t="shared" si="1"/>
        <v>Markus Schwendtner</v>
      </c>
    </row>
    <row r="26" spans="1:3" x14ac:dyDescent="0.25">
      <c r="A26" t="s">
        <v>420</v>
      </c>
      <c r="B26" t="s">
        <v>435</v>
      </c>
      <c r="C26" t="str">
        <f t="shared" si="1"/>
        <v>Martin Tusch</v>
      </c>
    </row>
    <row r="27" spans="1:3" x14ac:dyDescent="0.25">
      <c r="A27" t="s">
        <v>201</v>
      </c>
      <c r="C27" t="str">
        <f t="shared" si="1"/>
        <v xml:space="preserve">- </v>
      </c>
    </row>
    <row r="28" spans="1:3" x14ac:dyDescent="0.25">
      <c r="C28" t="str">
        <f t="shared" si="0"/>
        <v/>
      </c>
    </row>
    <row r="29" spans="1:3" x14ac:dyDescent="0.25">
      <c r="C29" t="str">
        <f t="shared" si="0"/>
        <v/>
      </c>
    </row>
    <row r="30" spans="1:3" x14ac:dyDescent="0.25">
      <c r="C30" t="str">
        <f t="shared" si="0"/>
        <v/>
      </c>
    </row>
    <row r="31" spans="1:3" x14ac:dyDescent="0.25">
      <c r="C31" t="str">
        <f t="shared" si="0"/>
        <v/>
      </c>
    </row>
    <row r="33" spans="3:3" x14ac:dyDescent="0.25">
      <c r="C33" t="str">
        <f t="shared" si="0"/>
        <v/>
      </c>
    </row>
    <row r="34" spans="3:3" x14ac:dyDescent="0.25">
      <c r="C34" t="str">
        <f t="shared" si="0"/>
        <v/>
      </c>
    </row>
    <row r="35" spans="3:3" x14ac:dyDescent="0.25">
      <c r="C35" t="str">
        <f t="shared" si="0"/>
        <v/>
      </c>
    </row>
    <row r="36" spans="3:3" x14ac:dyDescent="0.25">
      <c r="C36" t="str">
        <f t="shared" si="0"/>
        <v/>
      </c>
    </row>
    <row r="37" spans="3:3" x14ac:dyDescent="0.25">
      <c r="C37" t="str">
        <f t="shared" si="0"/>
        <v/>
      </c>
    </row>
    <row r="38" spans="3:3" x14ac:dyDescent="0.25">
      <c r="C38" t="str">
        <f t="shared" si="0"/>
        <v/>
      </c>
    </row>
    <row r="39" spans="3:3" x14ac:dyDescent="0.25">
      <c r="C39" t="str">
        <f t="shared" si="0"/>
        <v/>
      </c>
    </row>
    <row r="40" spans="3:3" x14ac:dyDescent="0.25">
      <c r="C40" t="str">
        <f t="shared" si="0"/>
        <v/>
      </c>
    </row>
    <row r="41" spans="3:3" x14ac:dyDescent="0.25">
      <c r="C41" t="str">
        <f t="shared" si="0"/>
        <v/>
      </c>
    </row>
    <row r="42" spans="3:3" x14ac:dyDescent="0.25">
      <c r="C42" t="str">
        <f t="shared" si="0"/>
        <v/>
      </c>
    </row>
    <row r="43" spans="3:3" x14ac:dyDescent="0.25">
      <c r="C43" t="str">
        <f t="shared" si="0"/>
        <v/>
      </c>
    </row>
    <row r="44" spans="3:3" x14ac:dyDescent="0.25">
      <c r="C44" t="str">
        <f t="shared" si="0"/>
        <v/>
      </c>
    </row>
    <row r="45" spans="3:3" x14ac:dyDescent="0.25">
      <c r="C45" t="str">
        <f t="shared" si="0"/>
        <v/>
      </c>
    </row>
    <row r="46" spans="3:3" x14ac:dyDescent="0.25">
      <c r="C46" t="str">
        <f t="shared" si="0"/>
        <v/>
      </c>
    </row>
    <row r="47" spans="3:3" x14ac:dyDescent="0.25">
      <c r="C47" t="str">
        <f t="shared" si="0"/>
        <v/>
      </c>
    </row>
    <row r="48" spans="3:3" x14ac:dyDescent="0.25">
      <c r="C48" t="str">
        <f t="shared" si="0"/>
        <v/>
      </c>
    </row>
    <row r="49" spans="3:3" x14ac:dyDescent="0.25">
      <c r="C49" t="str">
        <f t="shared" si="0"/>
        <v/>
      </c>
    </row>
    <row r="50" spans="3:3" x14ac:dyDescent="0.25">
      <c r="C50" t="str">
        <f t="shared" si="0"/>
        <v/>
      </c>
    </row>
  </sheetData>
  <sortState ref="A5:B26">
    <sortCondition ref="B4:B25"/>
  </sortState>
  <pageMargins left="0.7" right="0.7" top="0.78740157499999996" bottom="0.78740157499999996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0"/>
  <dimension ref="A1:B4"/>
  <sheetViews>
    <sheetView workbookViewId="0">
      <selection activeCell="A5" sqref="A5"/>
    </sheetView>
  </sheetViews>
  <sheetFormatPr baseColWidth="10" defaultRowHeight="15" x14ac:dyDescent="0.25"/>
  <cols>
    <col min="2" max="2" width="140.7109375" bestFit="1" customWidth="1"/>
  </cols>
  <sheetData>
    <row r="1" spans="1:2" x14ac:dyDescent="0.25">
      <c r="A1" t="s">
        <v>746</v>
      </c>
      <c r="B1" t="s">
        <v>747</v>
      </c>
    </row>
    <row r="2" spans="1:2" x14ac:dyDescent="0.25">
      <c r="A2" t="s">
        <v>744</v>
      </c>
      <c r="B2" t="s">
        <v>745</v>
      </c>
    </row>
    <row r="3" spans="1:2" x14ac:dyDescent="0.25">
      <c r="A3" t="s">
        <v>748</v>
      </c>
      <c r="B3" t="s">
        <v>749</v>
      </c>
    </row>
    <row r="4" spans="1:2" x14ac:dyDescent="0.25">
      <c r="A4" t="s">
        <v>780</v>
      </c>
      <c r="B4" t="s">
        <v>781</v>
      </c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A1:AY59"/>
  <sheetViews>
    <sheetView topLeftCell="K1" workbookViewId="0">
      <selection activeCell="AB54" sqref="AB54"/>
    </sheetView>
  </sheetViews>
  <sheetFormatPr baseColWidth="10" defaultRowHeight="15" x14ac:dyDescent="0.25"/>
  <cols>
    <col min="1" max="1" width="30.140625" bestFit="1" customWidth="1"/>
    <col min="2" max="3" width="14.28515625" customWidth="1"/>
    <col min="4" max="4" width="5.7109375" style="114" customWidth="1"/>
    <col min="5" max="6" width="14.28515625" customWidth="1"/>
    <col min="7" max="7" width="5.7109375" customWidth="1"/>
    <col min="8" max="9" width="14.28515625" customWidth="1"/>
    <col min="10" max="10" width="5.7109375" customWidth="1"/>
    <col min="11" max="12" width="14.28515625" customWidth="1"/>
    <col min="13" max="13" width="5.7109375" customWidth="1"/>
    <col min="14" max="15" width="14.28515625" customWidth="1"/>
    <col min="16" max="16" width="5.7109375" customWidth="1"/>
    <col min="17" max="18" width="14.28515625" customWidth="1"/>
    <col min="19" max="19" width="5.7109375" customWidth="1"/>
    <col min="20" max="21" width="14.28515625" customWidth="1"/>
    <col min="22" max="22" width="5.7109375" customWidth="1"/>
    <col min="23" max="24" width="14.28515625" customWidth="1"/>
    <col min="25" max="25" width="5.7109375" customWidth="1"/>
    <col min="26" max="27" width="14.28515625" customWidth="1"/>
    <col min="28" max="28" width="5.7109375" customWidth="1"/>
    <col min="29" max="30" width="14.28515625" customWidth="1"/>
    <col min="31" max="31" width="5.7109375" customWidth="1"/>
    <col min="32" max="33" width="14.28515625" customWidth="1"/>
    <col min="34" max="34" width="5.7109375" customWidth="1"/>
    <col min="35" max="36" width="14.28515625" customWidth="1"/>
    <col min="37" max="37" width="5.7109375" customWidth="1"/>
    <col min="38" max="39" width="14.28515625" customWidth="1"/>
    <col min="40" max="40" width="5.7109375" customWidth="1"/>
    <col min="41" max="42" width="14.28515625" customWidth="1"/>
    <col min="43" max="43" width="5.7109375" customWidth="1"/>
    <col min="44" max="45" width="14.28515625" customWidth="1"/>
    <col min="46" max="46" width="5.7109375" customWidth="1"/>
    <col min="47" max="48" width="14.28515625" customWidth="1"/>
    <col min="49" max="49" width="5.7109375" customWidth="1"/>
    <col min="50" max="50" width="34.28515625" customWidth="1"/>
    <col min="51" max="51" width="14.85546875" bestFit="1" customWidth="1"/>
  </cols>
  <sheetData>
    <row r="1" spans="1:31" x14ac:dyDescent="0.25">
      <c r="A1" s="164" t="s">
        <v>720</v>
      </c>
      <c r="B1" s="179" t="s">
        <v>450</v>
      </c>
      <c r="C1" s="180"/>
      <c r="D1" s="181"/>
      <c r="E1" s="179" t="s">
        <v>464</v>
      </c>
      <c r="F1" s="180"/>
      <c r="G1" s="181"/>
      <c r="H1" s="179" t="s">
        <v>492</v>
      </c>
      <c r="I1" s="180"/>
      <c r="J1" s="181"/>
      <c r="K1" s="179" t="s">
        <v>96</v>
      </c>
      <c r="L1" s="180"/>
      <c r="M1" s="181"/>
      <c r="N1" s="179" t="s">
        <v>519</v>
      </c>
      <c r="O1" s="180"/>
      <c r="P1" s="181"/>
      <c r="Q1" s="179" t="s">
        <v>62</v>
      </c>
      <c r="R1" s="180"/>
      <c r="S1" s="181"/>
      <c r="T1" s="179" t="s">
        <v>541</v>
      </c>
      <c r="U1" s="180"/>
      <c r="V1" s="181"/>
      <c r="W1" s="179" t="s">
        <v>126</v>
      </c>
      <c r="X1" s="180"/>
      <c r="Y1" s="181"/>
    </row>
    <row r="2" spans="1:31" x14ac:dyDescent="0.25">
      <c r="A2" s="164" t="s">
        <v>15</v>
      </c>
      <c r="B2" s="167" t="s">
        <v>439</v>
      </c>
      <c r="C2" s="168" t="s">
        <v>440</v>
      </c>
      <c r="D2" s="169" t="s">
        <v>79</v>
      </c>
      <c r="E2" s="167" t="s">
        <v>465</v>
      </c>
      <c r="F2" s="168" t="s">
        <v>364</v>
      </c>
      <c r="G2" s="169" t="s">
        <v>79</v>
      </c>
      <c r="H2" s="167" t="s">
        <v>493</v>
      </c>
      <c r="I2" s="168" t="s">
        <v>102</v>
      </c>
      <c r="J2" s="169" t="s">
        <v>79</v>
      </c>
      <c r="K2" s="167" t="s">
        <v>99</v>
      </c>
      <c r="L2" s="168" t="s">
        <v>100</v>
      </c>
      <c r="M2" s="169" t="s">
        <v>79</v>
      </c>
      <c r="N2" s="167" t="s">
        <v>359</v>
      </c>
      <c r="O2" s="168" t="s">
        <v>520</v>
      </c>
      <c r="P2" s="169" t="s">
        <v>79</v>
      </c>
      <c r="Q2" s="167" t="s">
        <v>63</v>
      </c>
      <c r="R2" s="168" t="s">
        <v>64</v>
      </c>
      <c r="S2" s="169" t="s">
        <v>79</v>
      </c>
      <c r="T2" s="167" t="s">
        <v>542</v>
      </c>
      <c r="U2" s="168" t="s">
        <v>543</v>
      </c>
      <c r="V2" s="169" t="s">
        <v>79</v>
      </c>
      <c r="W2" s="167" t="s">
        <v>724</v>
      </c>
      <c r="X2" s="168" t="s">
        <v>725</v>
      </c>
      <c r="Y2" s="169" t="s">
        <v>79</v>
      </c>
    </row>
    <row r="3" spans="1:31" x14ac:dyDescent="0.25">
      <c r="A3" s="164" t="s">
        <v>16</v>
      </c>
      <c r="B3" s="167" t="s">
        <v>441</v>
      </c>
      <c r="C3" s="168" t="s">
        <v>440</v>
      </c>
      <c r="D3" s="169" t="s">
        <v>79</v>
      </c>
      <c r="E3" s="167" t="s">
        <v>466</v>
      </c>
      <c r="F3" s="168" t="s">
        <v>467</v>
      </c>
      <c r="G3" s="169" t="s">
        <v>79</v>
      </c>
      <c r="H3" s="167" t="s">
        <v>494</v>
      </c>
      <c r="I3" s="168" t="s">
        <v>495</v>
      </c>
      <c r="J3" s="169" t="s">
        <v>79</v>
      </c>
      <c r="K3" s="167" t="s">
        <v>101</v>
      </c>
      <c r="L3" s="168" t="s">
        <v>102</v>
      </c>
      <c r="M3" s="169" t="s">
        <v>79</v>
      </c>
      <c r="N3" s="167" t="s">
        <v>521</v>
      </c>
      <c r="O3" s="168" t="s">
        <v>522</v>
      </c>
      <c r="P3" s="169" t="s">
        <v>79</v>
      </c>
      <c r="Q3" s="167" t="s">
        <v>65</v>
      </c>
      <c r="R3" s="168" t="s">
        <v>66</v>
      </c>
      <c r="S3" s="169" t="s">
        <v>79</v>
      </c>
      <c r="T3" s="167" t="s">
        <v>544</v>
      </c>
      <c r="U3" s="168" t="s">
        <v>360</v>
      </c>
      <c r="V3" s="169" t="s">
        <v>79</v>
      </c>
      <c r="W3" s="167" t="s">
        <v>724</v>
      </c>
      <c r="X3" s="168" t="s">
        <v>726</v>
      </c>
      <c r="Y3" s="169" t="s">
        <v>79</v>
      </c>
    </row>
    <row r="4" spans="1:31" x14ac:dyDescent="0.25">
      <c r="A4" s="164" t="s">
        <v>17</v>
      </c>
      <c r="B4" s="167" t="s">
        <v>442</v>
      </c>
      <c r="C4" s="168" t="s">
        <v>443</v>
      </c>
      <c r="D4" s="169" t="s">
        <v>79</v>
      </c>
      <c r="E4" s="167" t="s">
        <v>468</v>
      </c>
      <c r="F4" s="168" t="s">
        <v>469</v>
      </c>
      <c r="G4" s="169" t="s">
        <v>79</v>
      </c>
      <c r="H4" s="167" t="s">
        <v>496</v>
      </c>
      <c r="I4" s="168" t="s">
        <v>497</v>
      </c>
      <c r="J4" s="169" t="s">
        <v>79</v>
      </c>
      <c r="K4" s="167" t="s">
        <v>103</v>
      </c>
      <c r="L4" s="168" t="s">
        <v>104</v>
      </c>
      <c r="M4" s="169" t="s">
        <v>79</v>
      </c>
      <c r="N4" s="167" t="s">
        <v>523</v>
      </c>
      <c r="O4" s="168" t="s">
        <v>426</v>
      </c>
      <c r="P4" s="169" t="s">
        <v>79</v>
      </c>
      <c r="Q4" s="167" t="s">
        <v>67</v>
      </c>
      <c r="R4" s="168" t="s">
        <v>68</v>
      </c>
      <c r="S4" s="169" t="s">
        <v>79</v>
      </c>
      <c r="T4" s="167" t="s">
        <v>545</v>
      </c>
      <c r="U4" s="168" t="s">
        <v>546</v>
      </c>
      <c r="V4" s="169" t="s">
        <v>79</v>
      </c>
      <c r="W4" s="167" t="s">
        <v>724</v>
      </c>
      <c r="X4" s="168" t="s">
        <v>727</v>
      </c>
      <c r="Y4" s="169" t="s">
        <v>79</v>
      </c>
    </row>
    <row r="5" spans="1:31" x14ac:dyDescent="0.25">
      <c r="A5" s="164" t="s">
        <v>18</v>
      </c>
      <c r="B5" s="167" t="s">
        <v>444</v>
      </c>
      <c r="C5" s="168" t="s">
        <v>445</v>
      </c>
      <c r="D5" s="169" t="s">
        <v>79</v>
      </c>
      <c r="E5" s="167" t="s">
        <v>470</v>
      </c>
      <c r="F5" s="168" t="s">
        <v>471</v>
      </c>
      <c r="G5" s="169" t="s">
        <v>79</v>
      </c>
      <c r="H5" s="167" t="s">
        <v>498</v>
      </c>
      <c r="I5" s="168" t="s">
        <v>499</v>
      </c>
      <c r="J5" s="169" t="s">
        <v>79</v>
      </c>
      <c r="K5" s="167" t="s">
        <v>97</v>
      </c>
      <c r="L5" s="168" t="s">
        <v>98</v>
      </c>
      <c r="M5" s="169" t="s">
        <v>79</v>
      </c>
      <c r="N5" s="167" t="s">
        <v>524</v>
      </c>
      <c r="O5" s="168" t="s">
        <v>525</v>
      </c>
      <c r="P5" s="169" t="s">
        <v>79</v>
      </c>
      <c r="Q5" s="167" t="s">
        <v>69</v>
      </c>
      <c r="R5" s="168" t="s">
        <v>70</v>
      </c>
      <c r="S5" s="169" t="s">
        <v>79</v>
      </c>
      <c r="T5" s="167" t="s">
        <v>547</v>
      </c>
      <c r="U5" s="168" t="s">
        <v>543</v>
      </c>
      <c r="V5" s="169" t="s">
        <v>79</v>
      </c>
      <c r="W5" s="167" t="s">
        <v>724</v>
      </c>
      <c r="X5" s="168" t="s">
        <v>728</v>
      </c>
      <c r="Y5" s="169" t="s">
        <v>79</v>
      </c>
    </row>
    <row r="6" spans="1:31" x14ac:dyDescent="0.25">
      <c r="A6" s="164" t="s">
        <v>19</v>
      </c>
      <c r="B6" s="167" t="s">
        <v>759</v>
      </c>
      <c r="C6" s="168" t="s">
        <v>364</v>
      </c>
      <c r="D6" s="169"/>
      <c r="E6" s="167" t="s">
        <v>472</v>
      </c>
      <c r="F6" s="168" t="s">
        <v>473</v>
      </c>
      <c r="G6" s="170"/>
      <c r="H6" s="167" t="s">
        <v>500</v>
      </c>
      <c r="I6" s="168" t="s">
        <v>420</v>
      </c>
      <c r="J6" s="169"/>
      <c r="K6" s="167" t="s">
        <v>105</v>
      </c>
      <c r="L6" s="168" t="s">
        <v>106</v>
      </c>
      <c r="M6" s="169" t="s">
        <v>79</v>
      </c>
      <c r="N6" s="167" t="s">
        <v>526</v>
      </c>
      <c r="O6" s="168" t="s">
        <v>527</v>
      </c>
      <c r="P6" s="169"/>
      <c r="Q6" s="167" t="s">
        <v>71</v>
      </c>
      <c r="R6" s="168" t="s">
        <v>72</v>
      </c>
      <c r="S6" s="170"/>
      <c r="T6" s="167" t="s">
        <v>548</v>
      </c>
      <c r="U6" s="168" t="s">
        <v>25</v>
      </c>
      <c r="V6" s="170"/>
      <c r="W6" s="167" t="s">
        <v>724</v>
      </c>
      <c r="X6" s="168" t="s">
        <v>729</v>
      </c>
      <c r="Y6" s="170"/>
    </row>
    <row r="7" spans="1:31" x14ac:dyDescent="0.25">
      <c r="A7" s="164" t="s">
        <v>20</v>
      </c>
      <c r="B7" s="167" t="s">
        <v>446</v>
      </c>
      <c r="C7" s="168" t="s">
        <v>447</v>
      </c>
      <c r="D7" s="171"/>
      <c r="E7" s="167" t="s">
        <v>474</v>
      </c>
      <c r="F7" s="168" t="s">
        <v>111</v>
      </c>
      <c r="G7" s="170"/>
      <c r="H7" s="167" t="s">
        <v>501</v>
      </c>
      <c r="I7" s="168" t="s">
        <v>100</v>
      </c>
      <c r="J7" s="169"/>
      <c r="K7" s="167" t="s">
        <v>107</v>
      </c>
      <c r="L7" s="168" t="s">
        <v>70</v>
      </c>
      <c r="M7" s="169"/>
      <c r="N7" s="167" t="s">
        <v>528</v>
      </c>
      <c r="O7" s="168" t="s">
        <v>391</v>
      </c>
      <c r="P7" s="169"/>
      <c r="Q7" s="167" t="s">
        <v>73</v>
      </c>
      <c r="R7" s="168" t="s">
        <v>74</v>
      </c>
      <c r="S7" s="170"/>
      <c r="T7" s="167" t="s">
        <v>549</v>
      </c>
      <c r="U7" s="168" t="s">
        <v>550</v>
      </c>
      <c r="V7" s="170"/>
      <c r="W7" s="167" t="s">
        <v>724</v>
      </c>
      <c r="X7" s="168" t="s">
        <v>730</v>
      </c>
      <c r="Y7" s="170"/>
    </row>
    <row r="8" spans="1:31" x14ac:dyDescent="0.25">
      <c r="A8" s="164" t="s">
        <v>21</v>
      </c>
      <c r="B8" s="167" t="s">
        <v>448</v>
      </c>
      <c r="C8" s="168" t="s">
        <v>25</v>
      </c>
      <c r="D8" s="171"/>
      <c r="E8" s="167" t="s">
        <v>475</v>
      </c>
      <c r="F8" s="168" t="s">
        <v>436</v>
      </c>
      <c r="G8" s="170"/>
      <c r="H8" s="167" t="s">
        <v>502</v>
      </c>
      <c r="I8" s="168" t="s">
        <v>503</v>
      </c>
      <c r="J8" s="169"/>
      <c r="K8" s="167" t="s">
        <v>108</v>
      </c>
      <c r="L8" s="168" t="s">
        <v>109</v>
      </c>
      <c r="M8" s="169"/>
      <c r="N8" s="167" t="s">
        <v>370</v>
      </c>
      <c r="O8" s="168" t="s">
        <v>413</v>
      </c>
      <c r="P8" s="169"/>
      <c r="Q8" s="167" t="s">
        <v>75</v>
      </c>
      <c r="R8" s="168" t="s">
        <v>76</v>
      </c>
      <c r="S8" s="170"/>
      <c r="T8" s="167" t="s">
        <v>551</v>
      </c>
      <c r="U8" s="168" t="s">
        <v>552</v>
      </c>
      <c r="V8" s="170"/>
      <c r="W8" s="167" t="s">
        <v>724</v>
      </c>
      <c r="X8" s="168" t="s">
        <v>731</v>
      </c>
      <c r="Y8" s="170"/>
    </row>
    <row r="9" spans="1:31" x14ac:dyDescent="0.25">
      <c r="A9" s="164" t="s">
        <v>22</v>
      </c>
      <c r="B9" s="167" t="s">
        <v>449</v>
      </c>
      <c r="C9" s="168" t="s">
        <v>354</v>
      </c>
      <c r="D9" s="169"/>
      <c r="E9" s="167" t="s">
        <v>476</v>
      </c>
      <c r="F9" s="168" t="s">
        <v>477</v>
      </c>
      <c r="G9" s="170"/>
      <c r="H9" s="167" t="s">
        <v>504</v>
      </c>
      <c r="I9" s="168" t="s">
        <v>505</v>
      </c>
      <c r="J9" s="169"/>
      <c r="K9" s="167" t="s">
        <v>110</v>
      </c>
      <c r="L9" s="168" t="s">
        <v>111</v>
      </c>
      <c r="M9" s="169"/>
      <c r="N9" s="167" t="s">
        <v>529</v>
      </c>
      <c r="O9" s="168" t="s">
        <v>530</v>
      </c>
      <c r="P9" s="169"/>
      <c r="Q9" s="167" t="s">
        <v>77</v>
      </c>
      <c r="R9" s="168" t="s">
        <v>78</v>
      </c>
      <c r="S9" s="170"/>
      <c r="T9" s="167" t="s">
        <v>553</v>
      </c>
      <c r="U9" s="168" t="s">
        <v>525</v>
      </c>
      <c r="V9" s="169"/>
      <c r="W9" s="167" t="s">
        <v>724</v>
      </c>
      <c r="X9" s="168" t="s">
        <v>732</v>
      </c>
      <c r="Y9" s="169"/>
    </row>
    <row r="10" spans="1:31" x14ac:dyDescent="0.25">
      <c r="A10" s="164" t="s">
        <v>37</v>
      </c>
      <c r="B10" s="167" t="s">
        <v>451</v>
      </c>
      <c r="C10" s="168" t="s">
        <v>452</v>
      </c>
      <c r="D10" s="169" t="s">
        <v>79</v>
      </c>
      <c r="E10" s="167" t="s">
        <v>478</v>
      </c>
      <c r="F10" s="168" t="s">
        <v>479</v>
      </c>
      <c r="G10" s="169" t="s">
        <v>79</v>
      </c>
      <c r="H10" s="167" t="s">
        <v>506</v>
      </c>
      <c r="I10" s="168" t="s">
        <v>507</v>
      </c>
      <c r="J10" s="169" t="s">
        <v>79</v>
      </c>
      <c r="K10" s="167" t="s">
        <v>112</v>
      </c>
      <c r="L10" s="168" t="s">
        <v>113</v>
      </c>
      <c r="M10" s="169" t="s">
        <v>79</v>
      </c>
      <c r="N10" s="167" t="s">
        <v>531</v>
      </c>
      <c r="O10" s="168" t="s">
        <v>532</v>
      </c>
      <c r="P10" s="169" t="s">
        <v>79</v>
      </c>
      <c r="Q10" s="167" t="s">
        <v>80</v>
      </c>
      <c r="R10" s="168" t="s">
        <v>81</v>
      </c>
      <c r="S10" s="169" t="s">
        <v>79</v>
      </c>
      <c r="T10" s="167" t="s">
        <v>554</v>
      </c>
      <c r="U10" s="168" t="s">
        <v>555</v>
      </c>
      <c r="V10" s="169" t="s">
        <v>79</v>
      </c>
      <c r="W10" s="167" t="s">
        <v>733</v>
      </c>
      <c r="X10" s="168" t="s">
        <v>734</v>
      </c>
      <c r="Y10" s="169" t="s">
        <v>79</v>
      </c>
    </row>
    <row r="11" spans="1:31" x14ac:dyDescent="0.25">
      <c r="A11" s="164" t="s">
        <v>39</v>
      </c>
      <c r="B11" s="167" t="s">
        <v>442</v>
      </c>
      <c r="C11" s="168" t="s">
        <v>453</v>
      </c>
      <c r="D11" s="169" t="s">
        <v>79</v>
      </c>
      <c r="E11" s="167" t="s">
        <v>480</v>
      </c>
      <c r="F11" s="168" t="s">
        <v>117</v>
      </c>
      <c r="G11" s="169" t="s">
        <v>79</v>
      </c>
      <c r="H11" s="167" t="s">
        <v>508</v>
      </c>
      <c r="I11" s="168" t="s">
        <v>509</v>
      </c>
      <c r="J11" s="169" t="s">
        <v>79</v>
      </c>
      <c r="K11" s="167" t="s">
        <v>114</v>
      </c>
      <c r="L11" s="168" t="s">
        <v>115</v>
      </c>
      <c r="M11" s="169" t="s">
        <v>79</v>
      </c>
      <c r="N11" s="167" t="s">
        <v>523</v>
      </c>
      <c r="O11" s="168" t="s">
        <v>533</v>
      </c>
      <c r="P11" s="169" t="s">
        <v>79</v>
      </c>
      <c r="Q11" s="167" t="s">
        <v>82</v>
      </c>
      <c r="R11" s="168" t="s">
        <v>83</v>
      </c>
      <c r="S11" s="169" t="s">
        <v>79</v>
      </c>
      <c r="T11" s="167" t="s">
        <v>556</v>
      </c>
      <c r="U11" s="168" t="s">
        <v>557</v>
      </c>
      <c r="V11" s="169" t="s">
        <v>79</v>
      </c>
      <c r="W11" s="167" t="s">
        <v>733</v>
      </c>
      <c r="X11" s="168" t="s">
        <v>735</v>
      </c>
      <c r="Y11" s="169" t="s">
        <v>79</v>
      </c>
      <c r="AE11" s="117"/>
    </row>
    <row r="12" spans="1:31" x14ac:dyDescent="0.25">
      <c r="A12" s="164" t="s">
        <v>40</v>
      </c>
      <c r="B12" s="167" t="s">
        <v>454</v>
      </c>
      <c r="C12" s="168" t="s">
        <v>455</v>
      </c>
      <c r="D12" s="169"/>
      <c r="E12" s="167" t="s">
        <v>481</v>
      </c>
      <c r="F12" s="168" t="s">
        <v>482</v>
      </c>
      <c r="G12" s="170"/>
      <c r="H12" s="167" t="s">
        <v>510</v>
      </c>
      <c r="I12" s="168" t="s">
        <v>511</v>
      </c>
      <c r="J12" s="170"/>
      <c r="K12" s="167" t="s">
        <v>116</v>
      </c>
      <c r="L12" s="168" t="s">
        <v>117</v>
      </c>
      <c r="M12" s="169" t="s">
        <v>79</v>
      </c>
      <c r="N12" s="167" t="s">
        <v>534</v>
      </c>
      <c r="O12" s="168" t="s">
        <v>397</v>
      </c>
      <c r="P12" s="170"/>
      <c r="Q12" s="167" t="s">
        <v>84</v>
      </c>
      <c r="R12" s="168" t="s">
        <v>85</v>
      </c>
      <c r="S12" s="170"/>
      <c r="T12" s="167" t="s">
        <v>558</v>
      </c>
      <c r="U12" s="168" t="s">
        <v>559</v>
      </c>
      <c r="V12" s="169"/>
      <c r="W12" s="167" t="s">
        <v>733</v>
      </c>
      <c r="X12" s="168" t="s">
        <v>736</v>
      </c>
      <c r="Y12" s="169"/>
      <c r="AE12" s="117"/>
    </row>
    <row r="13" spans="1:31" x14ac:dyDescent="0.25">
      <c r="A13" s="164" t="s">
        <v>41</v>
      </c>
      <c r="B13" s="167" t="s">
        <v>456</v>
      </c>
      <c r="C13" s="168" t="s">
        <v>457</v>
      </c>
      <c r="D13" s="169"/>
      <c r="E13" s="167" t="s">
        <v>483</v>
      </c>
      <c r="F13" s="168" t="s">
        <v>484</v>
      </c>
      <c r="G13" s="170"/>
      <c r="H13" s="167" t="s">
        <v>512</v>
      </c>
      <c r="I13" s="168" t="s">
        <v>513</v>
      </c>
      <c r="J13" s="170"/>
      <c r="K13" s="167" t="s">
        <v>118</v>
      </c>
      <c r="L13" s="168" t="s">
        <v>119</v>
      </c>
      <c r="M13" s="170"/>
      <c r="N13" s="167" t="s">
        <v>535</v>
      </c>
      <c r="O13" s="168" t="s">
        <v>536</v>
      </c>
      <c r="P13" s="170"/>
      <c r="Q13" s="167" t="s">
        <v>86</v>
      </c>
      <c r="R13" s="168" t="s">
        <v>87</v>
      </c>
      <c r="S13" s="170"/>
      <c r="T13" s="167" t="s">
        <v>560</v>
      </c>
      <c r="U13" s="168" t="s">
        <v>433</v>
      </c>
      <c r="V13" s="169"/>
      <c r="W13" s="167" t="s">
        <v>733</v>
      </c>
      <c r="X13" s="168" t="s">
        <v>737</v>
      </c>
      <c r="Y13" s="169"/>
      <c r="AE13" s="117"/>
    </row>
    <row r="14" spans="1:31" x14ac:dyDescent="0.25">
      <c r="A14" s="164" t="s">
        <v>42</v>
      </c>
      <c r="B14" s="167" t="s">
        <v>458</v>
      </c>
      <c r="C14" s="168" t="s">
        <v>459</v>
      </c>
      <c r="D14" s="169"/>
      <c r="E14" s="167" t="s">
        <v>485</v>
      </c>
      <c r="F14" s="168" t="s">
        <v>486</v>
      </c>
      <c r="G14" s="170"/>
      <c r="H14" s="167" t="s">
        <v>514</v>
      </c>
      <c r="I14" s="168" t="s">
        <v>515</v>
      </c>
      <c r="J14" s="170"/>
      <c r="K14" s="167" t="s">
        <v>722</v>
      </c>
      <c r="L14" s="168" t="s">
        <v>120</v>
      </c>
      <c r="M14" s="170"/>
      <c r="N14" s="167" t="s">
        <v>526</v>
      </c>
      <c r="O14" s="168" t="s">
        <v>537</v>
      </c>
      <c r="P14" s="170"/>
      <c r="Q14" s="167" t="s">
        <v>88</v>
      </c>
      <c r="R14" s="168" t="s">
        <v>89</v>
      </c>
      <c r="S14" s="170"/>
      <c r="T14" s="167" t="s">
        <v>762</v>
      </c>
      <c r="U14" s="168" t="s">
        <v>593</v>
      </c>
      <c r="V14" s="169"/>
      <c r="W14" s="167" t="s">
        <v>733</v>
      </c>
      <c r="X14" s="168" t="s">
        <v>738</v>
      </c>
      <c r="Y14" s="169"/>
      <c r="AE14" s="117"/>
    </row>
    <row r="15" spans="1:31" x14ac:dyDescent="0.25">
      <c r="A15" s="164" t="s">
        <v>43</v>
      </c>
      <c r="B15" s="167" t="s">
        <v>460</v>
      </c>
      <c r="C15" s="168" t="s">
        <v>461</v>
      </c>
      <c r="D15" s="169"/>
      <c r="E15" s="167" t="s">
        <v>487</v>
      </c>
      <c r="F15" s="168" t="s">
        <v>488</v>
      </c>
      <c r="G15" s="170"/>
      <c r="H15" s="167" t="s">
        <v>512</v>
      </c>
      <c r="I15" s="168" t="s">
        <v>509</v>
      </c>
      <c r="J15" s="170"/>
      <c r="K15" s="167" t="s">
        <v>94</v>
      </c>
      <c r="L15" s="168" t="s">
        <v>121</v>
      </c>
      <c r="M15" s="170"/>
      <c r="N15" s="167" t="s">
        <v>535</v>
      </c>
      <c r="O15" s="168" t="s">
        <v>538</v>
      </c>
      <c r="P15" s="170"/>
      <c r="Q15" s="167" t="s">
        <v>90</v>
      </c>
      <c r="R15" s="168" t="s">
        <v>91</v>
      </c>
      <c r="S15" s="170"/>
      <c r="T15" s="167" t="s">
        <v>763</v>
      </c>
      <c r="U15" s="168" t="s">
        <v>482</v>
      </c>
      <c r="V15" s="169"/>
      <c r="W15" s="167" t="s">
        <v>733</v>
      </c>
      <c r="X15" s="168" t="s">
        <v>739</v>
      </c>
      <c r="Y15" s="169"/>
      <c r="AE15" s="117"/>
    </row>
    <row r="16" spans="1:31" x14ac:dyDescent="0.25">
      <c r="A16" s="164" t="s">
        <v>44</v>
      </c>
      <c r="B16" s="167" t="s">
        <v>462</v>
      </c>
      <c r="C16" s="168" t="s">
        <v>463</v>
      </c>
      <c r="D16" s="169"/>
      <c r="E16" s="167" t="s">
        <v>489</v>
      </c>
      <c r="F16" s="168" t="s">
        <v>85</v>
      </c>
      <c r="G16" s="170"/>
      <c r="H16" s="167" t="s">
        <v>516</v>
      </c>
      <c r="I16" s="168" t="s">
        <v>517</v>
      </c>
      <c r="J16" s="170"/>
      <c r="K16" s="167" t="s">
        <v>122</v>
      </c>
      <c r="L16" s="168" t="s">
        <v>123</v>
      </c>
      <c r="M16" s="170"/>
      <c r="N16" s="167" t="s">
        <v>359</v>
      </c>
      <c r="O16" s="168" t="s">
        <v>81</v>
      </c>
      <c r="P16" s="170"/>
      <c r="Q16" s="167" t="s">
        <v>92</v>
      </c>
      <c r="R16" s="168" t="s">
        <v>93</v>
      </c>
      <c r="S16" s="170"/>
      <c r="T16" s="167" t="s">
        <v>201</v>
      </c>
      <c r="U16" s="168" t="s">
        <v>201</v>
      </c>
      <c r="V16" s="169"/>
      <c r="W16" s="167" t="s">
        <v>733</v>
      </c>
      <c r="X16" s="168" t="s">
        <v>740</v>
      </c>
      <c r="Y16" s="169"/>
      <c r="AE16" s="117"/>
    </row>
    <row r="17" spans="1:51" ht="15.75" thickBot="1" x14ac:dyDescent="0.3">
      <c r="A17" s="165" t="s">
        <v>46</v>
      </c>
      <c r="B17" s="172" t="s">
        <v>760</v>
      </c>
      <c r="C17" s="173" t="s">
        <v>761</v>
      </c>
      <c r="D17" s="174"/>
      <c r="E17" s="172" t="s">
        <v>490</v>
      </c>
      <c r="F17" s="173" t="s">
        <v>491</v>
      </c>
      <c r="G17" s="175"/>
      <c r="H17" s="172" t="s">
        <v>518</v>
      </c>
      <c r="I17" s="173" t="s">
        <v>89</v>
      </c>
      <c r="J17" s="175"/>
      <c r="K17" s="172" t="s">
        <v>124</v>
      </c>
      <c r="L17" s="173" t="s">
        <v>125</v>
      </c>
      <c r="M17" s="175"/>
      <c r="N17" s="172" t="s">
        <v>539</v>
      </c>
      <c r="O17" s="173" t="s">
        <v>540</v>
      </c>
      <c r="P17" s="175"/>
      <c r="Q17" s="172" t="s">
        <v>94</v>
      </c>
      <c r="R17" s="173" t="s">
        <v>95</v>
      </c>
      <c r="S17" s="175"/>
      <c r="T17" s="172" t="s">
        <v>201</v>
      </c>
      <c r="U17" s="173" t="s">
        <v>201</v>
      </c>
      <c r="V17" s="174"/>
      <c r="W17" s="172" t="s">
        <v>733</v>
      </c>
      <c r="X17" s="173" t="s">
        <v>741</v>
      </c>
      <c r="Y17" s="174"/>
    </row>
    <row r="18" spans="1:51" ht="15.75" thickBot="1" x14ac:dyDescent="0.3">
      <c r="A18" s="166" t="s">
        <v>723</v>
      </c>
      <c r="B18" s="176" t="s">
        <v>561</v>
      </c>
      <c r="C18" s="177"/>
      <c r="D18" s="178"/>
      <c r="E18" s="176" t="s">
        <v>563</v>
      </c>
      <c r="F18" s="177"/>
      <c r="G18" s="178"/>
      <c r="H18" s="176" t="s">
        <v>565</v>
      </c>
      <c r="I18" s="177"/>
      <c r="J18" s="178"/>
      <c r="K18" s="176" t="s">
        <v>14</v>
      </c>
      <c r="L18" s="177"/>
      <c r="M18" s="178"/>
      <c r="N18" s="176" t="s">
        <v>567</v>
      </c>
      <c r="O18" s="177"/>
      <c r="P18" s="178"/>
      <c r="Q18" s="176" t="s">
        <v>13</v>
      </c>
      <c r="R18" s="177"/>
      <c r="S18" s="178"/>
      <c r="T18" s="176" t="s">
        <v>569</v>
      </c>
      <c r="U18" s="177"/>
      <c r="V18" s="178"/>
      <c r="W18" s="176" t="s">
        <v>742</v>
      </c>
      <c r="X18" s="177"/>
      <c r="Y18" s="178"/>
    </row>
    <row r="19" spans="1:51" ht="15.75" thickBot="1" x14ac:dyDescent="0.3">
      <c r="A19" s="166" t="s">
        <v>323</v>
      </c>
      <c r="B19" s="176" t="s">
        <v>562</v>
      </c>
      <c r="C19" s="177"/>
      <c r="D19" s="178"/>
      <c r="E19" s="176" t="s">
        <v>564</v>
      </c>
      <c r="F19" s="177"/>
      <c r="G19" s="178"/>
      <c r="H19" s="176" t="s">
        <v>564</v>
      </c>
      <c r="I19" s="177"/>
      <c r="J19" s="178"/>
      <c r="K19" s="176" t="s">
        <v>325</v>
      </c>
      <c r="L19" s="177"/>
      <c r="M19" s="178"/>
      <c r="N19" s="176" t="s">
        <v>568</v>
      </c>
      <c r="O19" s="177"/>
      <c r="P19" s="178"/>
      <c r="Q19" s="176" t="s">
        <v>324</v>
      </c>
      <c r="R19" s="177"/>
      <c r="S19" s="178"/>
      <c r="T19" s="176" t="s">
        <v>570</v>
      </c>
      <c r="U19" s="177"/>
      <c r="V19" s="178"/>
      <c r="W19" s="176" t="s">
        <v>743</v>
      </c>
      <c r="X19" s="177"/>
      <c r="Y19" s="178"/>
    </row>
    <row r="21" spans="1:51" x14ac:dyDescent="0.25">
      <c r="A21" s="17">
        <f>IF(A20="",Grundeinstellungen!K5,A20)</f>
        <v>0</v>
      </c>
      <c r="B21" s="182" t="s">
        <v>15</v>
      </c>
      <c r="C21" s="182"/>
      <c r="D21" s="182"/>
      <c r="E21" s="182" t="s">
        <v>16</v>
      </c>
      <c r="F21" s="182"/>
      <c r="G21" s="182"/>
      <c r="H21" s="182" t="s">
        <v>17</v>
      </c>
      <c r="I21" s="182"/>
      <c r="J21" s="182"/>
      <c r="K21" s="182" t="s">
        <v>18</v>
      </c>
      <c r="L21" s="182"/>
      <c r="M21" s="182"/>
      <c r="N21" s="182" t="s">
        <v>19</v>
      </c>
      <c r="O21" s="182"/>
      <c r="P21" s="182"/>
      <c r="Q21" s="182" t="s">
        <v>20</v>
      </c>
      <c r="R21" s="182"/>
      <c r="S21" s="182"/>
      <c r="T21" s="182" t="s">
        <v>21</v>
      </c>
      <c r="U21" s="182"/>
      <c r="V21" s="182"/>
      <c r="W21" s="182" t="s">
        <v>22</v>
      </c>
      <c r="X21" s="182"/>
      <c r="Y21" s="182"/>
      <c r="Z21" s="182" t="s">
        <v>37</v>
      </c>
      <c r="AA21" s="182"/>
      <c r="AB21" s="182"/>
      <c r="AC21" s="182" t="s">
        <v>39</v>
      </c>
      <c r="AD21" s="182"/>
      <c r="AE21" s="182"/>
      <c r="AF21" s="182" t="s">
        <v>40</v>
      </c>
      <c r="AG21" s="182"/>
      <c r="AH21" s="182"/>
      <c r="AI21" s="182" t="s">
        <v>41</v>
      </c>
      <c r="AJ21" s="182"/>
      <c r="AK21" s="182"/>
      <c r="AL21" s="182" t="s">
        <v>42</v>
      </c>
      <c r="AM21" s="182"/>
      <c r="AN21" s="182"/>
      <c r="AO21" s="182" t="s">
        <v>43</v>
      </c>
      <c r="AP21" s="182"/>
      <c r="AQ21" s="182"/>
      <c r="AR21" s="182" t="s">
        <v>44</v>
      </c>
      <c r="AS21" s="182"/>
      <c r="AT21" s="182"/>
      <c r="AU21" s="182" t="s">
        <v>46</v>
      </c>
      <c r="AV21" s="182"/>
      <c r="AW21" s="182"/>
      <c r="AX21" s="183" t="s">
        <v>127</v>
      </c>
    </row>
    <row r="22" spans="1:51" x14ac:dyDescent="0.25">
      <c r="A22" s="71" t="s">
        <v>12</v>
      </c>
      <c r="B22" s="17" t="s">
        <v>28</v>
      </c>
      <c r="C22" s="17" t="s">
        <v>27</v>
      </c>
      <c r="D22" s="113" t="s">
        <v>61</v>
      </c>
      <c r="E22" s="17" t="s">
        <v>28</v>
      </c>
      <c r="F22" s="17" t="s">
        <v>27</v>
      </c>
      <c r="G22" s="17" t="s">
        <v>61</v>
      </c>
      <c r="H22" s="17" t="s">
        <v>28</v>
      </c>
      <c r="I22" s="17" t="s">
        <v>27</v>
      </c>
      <c r="J22" s="17" t="s">
        <v>61</v>
      </c>
      <c r="K22" s="17" t="s">
        <v>28</v>
      </c>
      <c r="L22" s="17" t="s">
        <v>27</v>
      </c>
      <c r="M22" s="17" t="s">
        <v>61</v>
      </c>
      <c r="N22" s="17" t="s">
        <v>28</v>
      </c>
      <c r="O22" s="17" t="s">
        <v>27</v>
      </c>
      <c r="P22" s="17" t="s">
        <v>61</v>
      </c>
      <c r="Q22" s="17" t="s">
        <v>28</v>
      </c>
      <c r="R22" s="17" t="s">
        <v>27</v>
      </c>
      <c r="S22" s="17" t="s">
        <v>61</v>
      </c>
      <c r="T22" s="17" t="s">
        <v>28</v>
      </c>
      <c r="U22" s="17" t="s">
        <v>27</v>
      </c>
      <c r="V22" s="17" t="s">
        <v>61</v>
      </c>
      <c r="W22" s="17" t="s">
        <v>28</v>
      </c>
      <c r="X22" s="17" t="s">
        <v>27</v>
      </c>
      <c r="Y22" s="17" t="s">
        <v>61</v>
      </c>
      <c r="Z22" s="17" t="s">
        <v>28</v>
      </c>
      <c r="AA22" s="17" t="s">
        <v>27</v>
      </c>
      <c r="AB22" s="17" t="s">
        <v>61</v>
      </c>
      <c r="AC22" s="17" t="s">
        <v>28</v>
      </c>
      <c r="AD22" s="17" t="s">
        <v>27</v>
      </c>
      <c r="AE22" s="17" t="s">
        <v>61</v>
      </c>
      <c r="AF22" s="17" t="s">
        <v>28</v>
      </c>
      <c r="AG22" s="17" t="s">
        <v>27</v>
      </c>
      <c r="AH22" s="17" t="s">
        <v>61</v>
      </c>
      <c r="AI22" s="17" t="s">
        <v>28</v>
      </c>
      <c r="AJ22" s="17" t="s">
        <v>27</v>
      </c>
      <c r="AK22" s="17" t="s">
        <v>61</v>
      </c>
      <c r="AL22" s="17" t="s">
        <v>28</v>
      </c>
      <c r="AM22" s="17" t="s">
        <v>27</v>
      </c>
      <c r="AN22" s="17" t="s">
        <v>61</v>
      </c>
      <c r="AO22" s="17" t="s">
        <v>28</v>
      </c>
      <c r="AP22" s="17" t="s">
        <v>27</v>
      </c>
      <c r="AQ22" s="17" t="s">
        <v>61</v>
      </c>
      <c r="AR22" s="17" t="s">
        <v>28</v>
      </c>
      <c r="AS22" s="17" t="s">
        <v>27</v>
      </c>
      <c r="AT22" s="17" t="s">
        <v>61</v>
      </c>
      <c r="AU22" s="17" t="s">
        <v>28</v>
      </c>
      <c r="AV22" s="17" t="s">
        <v>27</v>
      </c>
      <c r="AW22" s="17" t="s">
        <v>61</v>
      </c>
      <c r="AX22" s="183"/>
      <c r="AY22" s="15" t="s">
        <v>323</v>
      </c>
    </row>
    <row r="23" spans="1:51" x14ac:dyDescent="0.25">
      <c r="A23" t="str">
        <f>IF($A$21="Staffel Süd",B41,IF($A$21="Staffel Ost",B1,""))</f>
        <v/>
      </c>
      <c r="B23" t="str">
        <f>IF($A$21="Staffel Süd",B$42,IF($A$21="Staffel Ost",B$2,""))</f>
        <v/>
      </c>
      <c r="C23" t="str">
        <f>IF($A$21="Staffel Süd",C$42,IF($A$21="Staffel Ost",C$2,""))</f>
        <v/>
      </c>
      <c r="D23" t="str">
        <f>IF($A$21="Staffel Süd",D$42,IF($A$21="Staffel Ost",D$2,""))</f>
        <v/>
      </c>
      <c r="E23" t="str">
        <f>IF($A$21="Staffel Süd",B$43,IF($A$21="Staffel Ost",B$3,""))</f>
        <v/>
      </c>
      <c r="F23" t="str">
        <f>IF($A$21="Staffel Süd",C$43,IF($A$21="Staffel Ost",C$3,""))</f>
        <v/>
      </c>
      <c r="G23" t="str">
        <f>IF($A$21="Staffel Süd",D$43,IF($A$21="Staffel Ost",D$3,""))</f>
        <v/>
      </c>
      <c r="H23" t="str">
        <f>IF($A$21="Staffel Süd",B$44,IF($A$21="Staffel Ost",B$4,""))</f>
        <v/>
      </c>
      <c r="I23" t="str">
        <f>IF($A$21="Staffel Süd",C$44,IF($A$21="Staffel Ost",C$4,""))</f>
        <v/>
      </c>
      <c r="J23" t="str">
        <f>IF($A$21="Staffel Süd",D$44,IF($A$21="Staffel Ost",D$4,""))</f>
        <v/>
      </c>
      <c r="K23" t="str">
        <f>IF($A$21="Staffel Süd",B$45,IF($A$21="Staffel Ost",B$5,""))</f>
        <v/>
      </c>
      <c r="L23" t="str">
        <f>IF($A$21="Staffel Süd",C$45,IF($A$21="Staffel Ost",C$5,""))</f>
        <v/>
      </c>
      <c r="M23" t="str">
        <f>IF($A$21="Staffel Süd",D$45,IF($A$21="Staffel Ost",D$5,""))</f>
        <v/>
      </c>
      <c r="N23" t="str">
        <f>IF($A$21="Staffel Süd",B$46,IF($A$21="Staffel Ost",B$6,""))</f>
        <v/>
      </c>
      <c r="O23" t="str">
        <f>IF($A$21="Staffel Süd",C$46,IF($A$21="Staffel Ost",C$6,""))</f>
        <v/>
      </c>
      <c r="P23" t="str">
        <f>IF($A$21="Staffel Süd",D$46,IF($A$21="Staffel Ost",D$6,""))</f>
        <v/>
      </c>
      <c r="Q23" t="str">
        <f>IF($A$21="Staffel Süd",B$47,IF($A$21="Staffel Ost",B$7,""))</f>
        <v/>
      </c>
      <c r="R23" t="str">
        <f>IF($A$21="Staffel Süd",C$47,IF($A$21="Staffel Ost",C$7,""))</f>
        <v/>
      </c>
      <c r="S23" t="str">
        <f>IF($A$21="Staffel Süd",D$47,IF($A$21="Staffel Ost",D$7,""))</f>
        <v/>
      </c>
      <c r="T23" t="str">
        <f>IF($A$21="Staffel Süd",B$48,IF($A$21="Staffel Ost",B$8,""))</f>
        <v/>
      </c>
      <c r="U23" t="str">
        <f>IF($A$21="Staffel Süd",C$48,IF($A$21="Staffel Ost",C$8,""))</f>
        <v/>
      </c>
      <c r="V23" t="str">
        <f>IF($A$21="Staffel Süd",D$48,IF($A$21="Staffel Ost",D$8,""))</f>
        <v/>
      </c>
      <c r="W23" t="str">
        <f>IF($A$21="Staffel Süd",B$49,IF($A$21="Staffel Ost",B$9,""))</f>
        <v/>
      </c>
      <c r="X23" t="str">
        <f>IF($A$21="Staffel Süd",C$49,IF($A$21="Staffel Ost",C$9,""))</f>
        <v/>
      </c>
      <c r="Y23" t="str">
        <f>IF($A$21="Staffel Süd",D$49,IF($A$21="Staffel Ost",D$9,""))</f>
        <v/>
      </c>
      <c r="Z23" t="str">
        <f>IF($A$21="Staffel Süd",B$50,IF($A$21="Staffel Ost",B$10,""))</f>
        <v/>
      </c>
      <c r="AA23" t="str">
        <f>IF($A$21="Staffel Süd",C$50,IF($A$21="Staffel Ost",C$10,""))</f>
        <v/>
      </c>
      <c r="AB23" t="str">
        <f>IF($A$21="Staffel Süd",D$50,IF($A$21="Staffel Ost",D$10,""))</f>
        <v/>
      </c>
      <c r="AC23" t="str">
        <f>IF($A$21="Staffel Süd",B$51,IF($A$21="Staffel Ost",B$11,""))</f>
        <v/>
      </c>
      <c r="AD23" t="str">
        <f>IF($A$21="Staffel Süd",C$51,IF($A$21="Staffel Ost",C$11,""))</f>
        <v/>
      </c>
      <c r="AE23" t="str">
        <f>IF($A$21="Staffel Süd",D$51,IF($A$21="Staffel Ost",D$11,""))</f>
        <v/>
      </c>
      <c r="AF23" t="str">
        <f>IF($A$21="Staffel Süd",B$52,IF($A$21="Staffel Ost",B$12,""))</f>
        <v/>
      </c>
      <c r="AG23" t="str">
        <f>IF($A$21="Staffel Süd",C$52,IF($A$21="Staffel Ost",C$12,""))</f>
        <v/>
      </c>
      <c r="AH23" t="str">
        <f>IF($A$21="Staffel Süd",D$52,IF($A$21="Staffel Ost",D$12,""))</f>
        <v/>
      </c>
      <c r="AI23" t="str">
        <f>IF($A$21="Staffel Süd",B$53,IF($A$21="Staffel Ost",B$13,""))</f>
        <v/>
      </c>
      <c r="AJ23" t="str">
        <f>IF($A$21="Staffel Süd",C$53,IF($A$21="Staffel Ost",C$13,""))</f>
        <v/>
      </c>
      <c r="AK23" t="str">
        <f>IF($A$21="Staffel Süd",D$53,IF($A$21="Staffel Ost",D$13,""))</f>
        <v/>
      </c>
      <c r="AL23" t="str">
        <f>IF($A$21="Staffel Süd",B$54,IF($A$21="Staffel Ost",B$14,""))</f>
        <v/>
      </c>
      <c r="AM23" t="str">
        <f>IF($A$21="Staffel Süd",C$54,IF($A$21="Staffel Ost",C$14,""))</f>
        <v/>
      </c>
      <c r="AN23" t="str">
        <f>IF($A$21="Staffel Süd",D$54,IF($A$21="Staffel Ost",D$14,""))</f>
        <v/>
      </c>
      <c r="AO23" t="str">
        <f>IF($A$21="Staffel Süd",B$55,IF($A$21="Staffel Ost",B$15,""))</f>
        <v/>
      </c>
      <c r="AP23" t="str">
        <f>IF($A$21="Staffel Süd",C$55,IF($A$21="Staffel Ost",C$15,""))</f>
        <v/>
      </c>
      <c r="AQ23" t="str">
        <f>IF($A$21="Staffel Süd",D$55,IF($A$21="Staffel Ost",D$15,""))</f>
        <v/>
      </c>
      <c r="AR23" t="str">
        <f>IF($A$21="Staffel Süd",B$56,IF($A$21="Staffel Ost",B$16,""))</f>
        <v/>
      </c>
      <c r="AS23" t="str">
        <f>IF($A$21="Staffel Süd",C$56,IF($A$21="Staffel Ost",C$16,""))</f>
        <v/>
      </c>
      <c r="AT23" t="str">
        <f>IF($A$21="Staffel Süd",D$56,IF($A$21="Staffel Ost",D$16,""))</f>
        <v/>
      </c>
      <c r="AU23" t="str">
        <f>IF($A$21="Staffel Süd",B$57,IF($A$21="Staffel Ost",B$17,""))</f>
        <v/>
      </c>
      <c r="AV23" t="str">
        <f>IF($A$21="Staffel Süd",C$57,IF($A$21="Staffel Ost",C$17,""))</f>
        <v/>
      </c>
      <c r="AW23" t="str">
        <f>IF($A$21="Staffel Süd",D$57,IF($A$21="Staffel Ost",D$17,""))</f>
        <v/>
      </c>
      <c r="AX23" t="str">
        <f>IF($A$21="Staffel Süd",B$58,IF($A$21="Staffel Ost",B$18,""))</f>
        <v/>
      </c>
      <c r="AY23" t="str">
        <f>IF($A$21="Staffel Süd",B$59,IF($A$21="Staffel Ost",B$19,""))</f>
        <v/>
      </c>
    </row>
    <row r="24" spans="1:51" x14ac:dyDescent="0.25">
      <c r="A24" t="str">
        <f>IF($A$21="Staffel Süd",E41,IF($A$21="Staffel Ost",E1,""))</f>
        <v/>
      </c>
      <c r="B24" t="str">
        <f>IF($A$21="Staffel Süd",E$42,IF($A$21="Staffel Ost",E$2,""))</f>
        <v/>
      </c>
      <c r="C24" t="str">
        <f>IF($A$21="Staffel Süd",F$42,IF($A$21="Staffel Ost",F$2,""))</f>
        <v/>
      </c>
      <c r="D24" t="str">
        <f>IF($A$21="Staffel Süd",G$42,IF($A$21="Staffel Ost",G$2,""))</f>
        <v/>
      </c>
      <c r="E24" t="str">
        <f>IF($A$21="Staffel Süd",E$43,IF($A$21="Staffel Ost",E$3,""))</f>
        <v/>
      </c>
      <c r="F24" t="str">
        <f>IF($A$21="Staffel Süd",F$43,IF($A$21="Staffel Ost",F$3,""))</f>
        <v/>
      </c>
      <c r="G24" t="str">
        <f>IF($A$21="Staffel Süd",G$43,IF($A$21="Staffel Ost",G$3,""))</f>
        <v/>
      </c>
      <c r="H24" t="str">
        <f>IF($A$21="Staffel Süd",E$44,IF($A$21="Staffel Ost",E$4,""))</f>
        <v/>
      </c>
      <c r="I24" t="str">
        <f>IF($A$21="Staffel Süd",F$44,IF($A$21="Staffel Ost",F$4,""))</f>
        <v/>
      </c>
      <c r="J24" t="str">
        <f>IF($A$21="Staffel Süd",G$44,IF($A$21="Staffel Ost",G$4,""))</f>
        <v/>
      </c>
      <c r="K24" t="str">
        <f>IF($A$21="Staffel Süd",E$45,IF($A$21="Staffel Ost",E$5,""))</f>
        <v/>
      </c>
      <c r="L24" t="str">
        <f>IF($A$21="Staffel Süd",F$45,IF($A$21="Staffel Ost",F$5,""))</f>
        <v/>
      </c>
      <c r="M24" t="str">
        <f>IF($A$21="Staffel Süd",G$45,IF($A$21="Staffel Ost",G$5,""))</f>
        <v/>
      </c>
      <c r="N24" t="str">
        <f>IF($A$21="Staffel Süd",E$46,IF($A$21="Staffel Ost",E$6,""))</f>
        <v/>
      </c>
      <c r="O24" t="str">
        <f>IF($A$21="Staffel Süd",F$46,IF($A$21="Staffel Ost",F$6,""))</f>
        <v/>
      </c>
      <c r="P24" t="str">
        <f>IF($A$21="Staffel Süd",G$46,IF($A$21="Staffel Ost",G$6,""))</f>
        <v/>
      </c>
      <c r="Q24" t="str">
        <f>IF($A$21="Staffel Süd",E$47,IF($A$21="Staffel Ost",E$7,""))</f>
        <v/>
      </c>
      <c r="R24" t="str">
        <f>IF($A$21="Staffel Süd",F$47,IF($A$21="Staffel Ost",F$7,""))</f>
        <v/>
      </c>
      <c r="S24" t="str">
        <f>IF($A$21="Staffel Süd",G$47,IF($A$21="Staffel Ost",G$7,""))</f>
        <v/>
      </c>
      <c r="T24" t="str">
        <f>IF($A$21="Staffel Süd",E$48,IF($A$21="Staffel Ost",E$8,""))</f>
        <v/>
      </c>
      <c r="U24" t="str">
        <f>IF($A$21="Staffel Süd",F$48,IF($A$21="Staffel Ost",F$8,""))</f>
        <v/>
      </c>
      <c r="V24" t="str">
        <f>IF($A$21="Staffel Süd",G$48,IF($A$21="Staffel Ost",G$8,""))</f>
        <v/>
      </c>
      <c r="W24" t="str">
        <f>IF($A$21="Staffel Süd",E$49,IF($A$21="Staffel Ost",E$9,""))</f>
        <v/>
      </c>
      <c r="X24" t="str">
        <f>IF($A$21="Staffel Süd",F$49,IF($A$21="Staffel Ost",F$9,""))</f>
        <v/>
      </c>
      <c r="Y24" t="str">
        <f>IF($A$21="Staffel Süd",G$49,IF($A$21="Staffel Ost",G$9,""))</f>
        <v/>
      </c>
      <c r="Z24" t="str">
        <f>IF($A$21="Staffel Süd",E$50,IF($A$21="Staffel Ost",E$10,""))</f>
        <v/>
      </c>
      <c r="AA24" t="str">
        <f>IF($A$21="Staffel Süd",F$50,IF($A$21="Staffel Ost",F$10,""))</f>
        <v/>
      </c>
      <c r="AB24" t="str">
        <f>IF($A$21="Staffel Süd",G$50,IF($A$21="Staffel Ost",G$10,""))</f>
        <v/>
      </c>
      <c r="AC24" t="str">
        <f>IF($A$21="Staffel Süd",E$51,IF($A$21="Staffel Ost",E$11,""))</f>
        <v/>
      </c>
      <c r="AD24" t="str">
        <f>IF($A$21="Staffel Süd",F$51,IF($A$21="Staffel Ost",F$11,""))</f>
        <v/>
      </c>
      <c r="AE24" t="str">
        <f>IF($A$21="Staffel Süd",G$51,IF($A$21="Staffel Ost",G$11,""))</f>
        <v/>
      </c>
      <c r="AF24" t="str">
        <f>IF($A$21="Staffel Süd",E$52,IF($A$21="Staffel Ost",E$12,""))</f>
        <v/>
      </c>
      <c r="AG24" t="str">
        <f>IF($A$21="Staffel Süd",F$52,IF($A$21="Staffel Ost",F$12,""))</f>
        <v/>
      </c>
      <c r="AH24" t="str">
        <f>IF($A$21="Staffel Süd",G$52,IF($A$21="Staffel Ost",G$12,""))</f>
        <v/>
      </c>
      <c r="AI24" t="str">
        <f>IF($A$21="Staffel Süd",E$53,IF($A$21="Staffel Ost",E$13,""))</f>
        <v/>
      </c>
      <c r="AJ24" t="str">
        <f>IF($A$21="Staffel Süd",F$53,IF($A$21="Staffel Ost",F$13,""))</f>
        <v/>
      </c>
      <c r="AK24" t="str">
        <f>IF($A$21="Staffel Süd",G$53,IF($A$21="Staffel Ost",G$13,""))</f>
        <v/>
      </c>
      <c r="AL24" t="str">
        <f>IF($A$21="Staffel Süd",E$54,IF($A$21="Staffel Ost",E$14,""))</f>
        <v/>
      </c>
      <c r="AM24" t="str">
        <f>IF($A$21="Staffel Süd",F$54,IF($A$21="Staffel Ost",F$14,""))</f>
        <v/>
      </c>
      <c r="AN24" t="str">
        <f>IF($A$21="Staffel Süd",G$54,IF($A$21="Staffel Ost",G$14,""))</f>
        <v/>
      </c>
      <c r="AO24" t="str">
        <f>IF($A$21="Staffel Süd",E$55,IF($A$21="Staffel Ost",E$15,""))</f>
        <v/>
      </c>
      <c r="AP24" t="str">
        <f>IF($A$21="Staffel Süd",F$55,IF($A$21="Staffel Ost",F$15,""))</f>
        <v/>
      </c>
      <c r="AQ24" t="str">
        <f>IF($A$21="Staffel Süd",G$55,IF($A$21="Staffel Ost",G$15,""))</f>
        <v/>
      </c>
      <c r="AR24" t="str">
        <f>IF($A$21="Staffel Süd",E$56,IF($A$21="Staffel Ost",E$16,""))</f>
        <v/>
      </c>
      <c r="AS24" t="str">
        <f>IF($A$21="Staffel Süd",F$56,IF($A$21="Staffel Ost",F$16,""))</f>
        <v/>
      </c>
      <c r="AT24" t="str">
        <f>IF($A$21="Staffel Süd",G$56,IF($A$21="Staffel Ost",G$16,""))</f>
        <v/>
      </c>
      <c r="AU24" t="str">
        <f>IF($A$21="Staffel Süd",E$57,IF($A$21="Staffel Ost",E$17,""))</f>
        <v/>
      </c>
      <c r="AV24" t="str">
        <f>IF($A$21="Staffel Süd",F$57,IF($A$21="Staffel Ost",F$17,""))</f>
        <v/>
      </c>
      <c r="AW24" t="str">
        <f>IF($A$21="Staffel Süd",G$57,IF($A$21="Staffel Ost",G$17,""))</f>
        <v/>
      </c>
      <c r="AX24" t="str">
        <f>IF($A$21="Staffel Süd",E$58,IF($A$21="Staffel Ost",E$18,""))</f>
        <v/>
      </c>
      <c r="AY24" t="str">
        <f>IF($A$21="Staffel Süd",E$59,IF($A$21="Staffel Ost",E$19,""))</f>
        <v/>
      </c>
    </row>
    <row r="25" spans="1:51" x14ac:dyDescent="0.25">
      <c r="A25" t="str">
        <f>IF($A$21="Staffel Süd",H41,IF($A$21="Staffel Ost",H1,""))</f>
        <v/>
      </c>
      <c r="B25" t="str">
        <f>IF($A$21="Staffel Süd",H$42,IF($A$21="Staffel Ost",H$2,""))</f>
        <v/>
      </c>
      <c r="C25" t="str">
        <f>IF($A$21="Staffel Süd",I$42,IF($A$21="Staffel Ost",I$2,""))</f>
        <v/>
      </c>
      <c r="D25" t="str">
        <f>IF($A$21="Staffel Süd",J$42,IF($A$21="Staffel Ost",J$2,""))</f>
        <v/>
      </c>
      <c r="E25" t="str">
        <f>IF($A$21="Staffel Süd",H$43,IF($A$21="Staffel Ost",H$3,""))</f>
        <v/>
      </c>
      <c r="F25" t="str">
        <f>IF($A$21="Staffel Süd",I$43,IF($A$21="Staffel Ost",I$3,""))</f>
        <v/>
      </c>
      <c r="G25" t="str">
        <f>IF($A$21="Staffel Süd",J$43,IF($A$21="Staffel Ost",J$3,""))</f>
        <v/>
      </c>
      <c r="H25" t="str">
        <f>IF($A$21="Staffel Süd",H$44,IF($A$21="Staffel Ost",H$4,""))</f>
        <v/>
      </c>
      <c r="I25" t="str">
        <f>IF($A$21="Staffel Süd",I$44,IF($A$21="Staffel Ost",I$4,""))</f>
        <v/>
      </c>
      <c r="J25" t="str">
        <f>IF($A$21="Staffel Süd",J$44,IF($A$21="Staffel Ost",J$4,""))</f>
        <v/>
      </c>
      <c r="K25" t="str">
        <f>IF($A$21="Staffel Süd",H$45,IF($A$21="Staffel Ost",H$5,""))</f>
        <v/>
      </c>
      <c r="L25" t="str">
        <f>IF($A$21="Staffel Süd",I$45,IF($A$21="Staffel Ost",I$5,""))</f>
        <v/>
      </c>
      <c r="M25" t="str">
        <f>IF($A$21="Staffel Süd",J$45,IF($A$21="Staffel Ost",J$5,""))</f>
        <v/>
      </c>
      <c r="N25" t="str">
        <f>IF($A$21="Staffel Süd",H$46,IF($A$21="Staffel Ost",H$6,""))</f>
        <v/>
      </c>
      <c r="O25" t="str">
        <f>IF($A$21="Staffel Süd",I$46,IF($A$21="Staffel Ost",I$6,""))</f>
        <v/>
      </c>
      <c r="P25" t="str">
        <f>IF($A$21="Staffel Süd",J$46,IF($A$21="Staffel Ost",J$6,""))</f>
        <v/>
      </c>
      <c r="Q25" t="str">
        <f>IF($A$21="Staffel Süd",H$47,IF($A$21="Staffel Ost",H$7,""))</f>
        <v/>
      </c>
      <c r="R25" t="str">
        <f>IF($A$21="Staffel Süd",I$47,IF($A$21="Staffel Ost",I$7,""))</f>
        <v/>
      </c>
      <c r="S25" t="str">
        <f>IF($A$21="Staffel Süd",J$47,IF($A$21="Staffel Ost",J$7,""))</f>
        <v/>
      </c>
      <c r="T25" t="str">
        <f>IF($A$21="Staffel Süd",H$48,IF($A$21="Staffel Ost",H$8,""))</f>
        <v/>
      </c>
      <c r="U25" t="str">
        <f>IF($A$21="Staffel Süd",I$48,IF($A$21="Staffel Ost",I$8,""))</f>
        <v/>
      </c>
      <c r="V25" t="str">
        <f>IF($A$21="Staffel Süd",J$48,IF($A$21="Staffel Ost",J$8,""))</f>
        <v/>
      </c>
      <c r="W25" t="str">
        <f>IF($A$21="Staffel Süd",H$49,IF($A$21="Staffel Ost",H$9,""))</f>
        <v/>
      </c>
      <c r="X25" t="str">
        <f>IF($A$21="Staffel Süd",I$49,IF($A$21="Staffel Ost",I$9,""))</f>
        <v/>
      </c>
      <c r="Y25" t="str">
        <f>IF($A$21="Staffel Süd",J$49,IF($A$21="Staffel Ost",J$9,""))</f>
        <v/>
      </c>
      <c r="Z25" t="str">
        <f>IF($A$21="Staffel Süd",H$50,IF($A$21="Staffel Ost",H$10,""))</f>
        <v/>
      </c>
      <c r="AA25" t="str">
        <f>IF($A$21="Staffel Süd",I$50,IF($A$21="Staffel Ost",I$10,""))</f>
        <v/>
      </c>
      <c r="AB25" t="str">
        <f>IF($A$21="Staffel Süd",J$50,IF($A$21="Staffel Ost",J$10,""))</f>
        <v/>
      </c>
      <c r="AC25" t="str">
        <f>IF($A$21="Staffel Süd",H$51,IF($A$21="Staffel Ost",H$11,""))</f>
        <v/>
      </c>
      <c r="AD25" t="str">
        <f>IF($A$21="Staffel Süd",I$51,IF($A$21="Staffel Ost",I$11,""))</f>
        <v/>
      </c>
      <c r="AE25" t="str">
        <f>IF($A$21="Staffel Süd",J$51,IF($A$21="Staffel Ost",J$11,""))</f>
        <v/>
      </c>
      <c r="AF25" t="str">
        <f>IF($A$21="Staffel Süd",H$52,IF($A$21="Staffel Ost",H$12,""))</f>
        <v/>
      </c>
      <c r="AG25" t="str">
        <f>IF($A$21="Staffel Süd",I$52,IF($A$21="Staffel Ost",I$12,""))</f>
        <v/>
      </c>
      <c r="AH25" t="str">
        <f>IF($A$21="Staffel Süd",J$52,IF($A$21="Staffel Ost",J$12,""))</f>
        <v/>
      </c>
      <c r="AI25" t="str">
        <f>IF($A$21="Staffel Süd",H$53,IF($A$21="Staffel Ost",H$13,""))</f>
        <v/>
      </c>
      <c r="AJ25" t="str">
        <f>IF($A$21="Staffel Süd",I$53,IF($A$21="Staffel Ost",I$13,""))</f>
        <v/>
      </c>
      <c r="AK25" t="str">
        <f>IF($A$21="Staffel Süd",J$53,IF($A$21="Staffel Ost",J$13,""))</f>
        <v/>
      </c>
      <c r="AL25" t="str">
        <f>IF($A$21="Staffel Süd",H$54,IF($A$21="Staffel Ost",H$14,""))</f>
        <v/>
      </c>
      <c r="AM25" t="str">
        <f>IF($A$21="Staffel Süd",I$54,IF($A$21="Staffel Ost",I$14,""))</f>
        <v/>
      </c>
      <c r="AN25" t="str">
        <f>IF($A$21="Staffel Süd",J$54,IF($A$21="Staffel Ost",J$14,""))</f>
        <v/>
      </c>
      <c r="AO25" t="str">
        <f>IF($A$21="Staffel Süd",H$55,IF($A$21="Staffel Ost",H$15,""))</f>
        <v/>
      </c>
      <c r="AP25" t="str">
        <f>IF($A$21="Staffel Süd",I$55,IF($A$21="Staffel Ost",I$15,""))</f>
        <v/>
      </c>
      <c r="AQ25" t="str">
        <f>IF($A$21="Staffel Süd",J$55,IF($A$21="Staffel Ost",J$15,""))</f>
        <v/>
      </c>
      <c r="AR25" t="str">
        <f>IF($A$21="Staffel Süd",H$56,IF($A$21="Staffel Ost",H$16,""))</f>
        <v/>
      </c>
      <c r="AS25" t="str">
        <f>IF($A$21="Staffel Süd",I$56,IF($A$21="Staffel Ost",I$16,""))</f>
        <v/>
      </c>
      <c r="AT25" t="str">
        <f>IF($A$21="Staffel Süd",J$56,IF($A$21="Staffel Ost",J$16,""))</f>
        <v/>
      </c>
      <c r="AU25" t="str">
        <f>IF($A$21="Staffel Süd",H$57,IF($A$21="Staffel Ost",H$17,""))</f>
        <v/>
      </c>
      <c r="AV25" t="str">
        <f>IF($A$21="Staffel Süd",I$57,IF($A$21="Staffel Ost",I$17,""))</f>
        <v/>
      </c>
      <c r="AW25" t="str">
        <f>IF($A$21="Staffel Süd",J$57,IF($A$21="Staffel Ost",J$17,""))</f>
        <v/>
      </c>
      <c r="AX25" t="str">
        <f>IF($A$21="Staffel Süd",H$58,IF($A$21="Staffel Ost",H$18,""))</f>
        <v/>
      </c>
      <c r="AY25" t="str">
        <f>IF($A$21="Staffel Süd",H$59,IF($A$21="Staffel Ost",H$19,""))</f>
        <v/>
      </c>
    </row>
    <row r="26" spans="1:51" x14ac:dyDescent="0.25">
      <c r="A26" t="str">
        <f>IF($A$21="Staffel Süd",K41,IF($A$21="Staffel Ost",K1,""))</f>
        <v/>
      </c>
      <c r="B26" t="str">
        <f>IF($A$21="Staffel Süd",K$42,IF($A$21="Staffel Ost",K$2,""))</f>
        <v/>
      </c>
      <c r="C26" t="str">
        <f>IF($A$21="Staffel Süd",L$42,IF($A$21="Staffel Ost",L$2,""))</f>
        <v/>
      </c>
      <c r="D26" t="str">
        <f>IF($A$21="Staffel Süd",M$42,IF($A$21="Staffel Ost",M$2,""))</f>
        <v/>
      </c>
      <c r="E26" t="str">
        <f>IF($A$21="Staffel Süd",K$43,IF($A$21="Staffel Ost",K$3,""))</f>
        <v/>
      </c>
      <c r="F26" t="str">
        <f>IF($A$21="Staffel Süd",L$43,IF($A$21="Staffel Ost",L$3,""))</f>
        <v/>
      </c>
      <c r="G26" t="str">
        <f>IF($A$21="Staffel Süd",M$43,IF($A$21="Staffel Ost",M$3,""))</f>
        <v/>
      </c>
      <c r="H26" t="str">
        <f>IF($A$21="Staffel Süd",K$44,IF($A$21="Staffel Ost",K$4,""))</f>
        <v/>
      </c>
      <c r="I26" t="str">
        <f>IF($A$21="Staffel Süd",L$44,IF($A$21="Staffel Ost",L$4,""))</f>
        <v/>
      </c>
      <c r="J26" t="str">
        <f>IF($A$21="Staffel Süd",M$44,IF($A$21="Staffel Ost",M$4,""))</f>
        <v/>
      </c>
      <c r="K26" t="str">
        <f>IF($A$21="Staffel Süd",K$45,IF($A$21="Staffel Ost",K$5,""))</f>
        <v/>
      </c>
      <c r="L26" t="str">
        <f>IF($A$21="Staffel Süd",L$45,IF($A$21="Staffel Ost",L$5,""))</f>
        <v/>
      </c>
      <c r="M26" t="str">
        <f>IF($A$21="Staffel Süd",M$45,IF($A$21="Staffel Ost",M$5,""))</f>
        <v/>
      </c>
      <c r="N26" t="str">
        <f>IF($A$21="Staffel Süd",K$46,IF($A$21="Staffel Ost",K$6,""))</f>
        <v/>
      </c>
      <c r="O26" t="str">
        <f>IF($A$21="Staffel Süd",L$46,IF($A$21="Staffel Ost",L$6,""))</f>
        <v/>
      </c>
      <c r="P26" t="str">
        <f>IF($A$21="Staffel Süd",M$46,IF($A$21="Staffel Ost",M$6,""))</f>
        <v/>
      </c>
      <c r="Q26" t="str">
        <f>IF($A$21="Staffel Süd",K$47,IF($A$21="Staffel Ost",K$7,""))</f>
        <v/>
      </c>
      <c r="R26" t="str">
        <f>IF($A$21="Staffel Süd",L$47,IF($A$21="Staffel Ost",L$7,""))</f>
        <v/>
      </c>
      <c r="S26" t="str">
        <f>IF($A$21="Staffel Süd",M$47,IF($A$21="Staffel Ost",M$7,""))</f>
        <v/>
      </c>
      <c r="T26" t="str">
        <f>IF($A$21="Staffel Süd",K$48,IF($A$21="Staffel Ost",K$8,""))</f>
        <v/>
      </c>
      <c r="U26" t="str">
        <f>IF($A$21="Staffel Süd",L$48,IF($A$21="Staffel Ost",L$8,""))</f>
        <v/>
      </c>
      <c r="V26" t="str">
        <f>IF($A$21="Staffel Süd",M$48,IF($A$21="Staffel Ost",M$8,""))</f>
        <v/>
      </c>
      <c r="W26" t="str">
        <f>IF($A$21="Staffel Süd",K$49,IF($A$21="Staffel Ost",K$9,""))</f>
        <v/>
      </c>
      <c r="X26" t="str">
        <f>IF($A$21="Staffel Süd",L$49,IF($A$21="Staffel Ost",L$9,""))</f>
        <v/>
      </c>
      <c r="Y26" t="str">
        <f>IF($A$21="Staffel Süd",M$49,IF($A$21="Staffel Ost",M$9,""))</f>
        <v/>
      </c>
      <c r="Z26" t="str">
        <f>IF($A$21="Staffel Süd",K$50,IF($A$21="Staffel Ost",K$10,""))</f>
        <v/>
      </c>
      <c r="AA26" t="str">
        <f>IF($A$21="Staffel Süd",L$50,IF($A$21="Staffel Ost",L$10,""))</f>
        <v/>
      </c>
      <c r="AB26" t="str">
        <f>IF($A$21="Staffel Süd",M$50,IF($A$21="Staffel Ost",M$10,""))</f>
        <v/>
      </c>
      <c r="AC26" t="str">
        <f>IF($A$21="Staffel Süd",K$51,IF($A$21="Staffel Ost",K$11,""))</f>
        <v/>
      </c>
      <c r="AD26" t="str">
        <f>IF($A$21="Staffel Süd",L$51,IF($A$21="Staffel Ost",L$11,""))</f>
        <v/>
      </c>
      <c r="AE26" t="str">
        <f>IF($A$21="Staffel Süd",M$51,IF($A$21="Staffel Ost",M$11,""))</f>
        <v/>
      </c>
      <c r="AF26" t="str">
        <f>IF($A$21="Staffel Süd",K$52,IF($A$21="Staffel Ost",K$12,""))</f>
        <v/>
      </c>
      <c r="AG26" t="str">
        <f>IF($A$21="Staffel Süd",L$52,IF($A$21="Staffel Ost",L$12,""))</f>
        <v/>
      </c>
      <c r="AH26" t="str">
        <f>IF($A$21="Staffel Süd",M$52,IF($A$21="Staffel Ost",M$12,""))</f>
        <v/>
      </c>
      <c r="AI26" t="str">
        <f>IF($A$21="Staffel Süd",K$53,IF($A$21="Staffel Ost",K$13,""))</f>
        <v/>
      </c>
      <c r="AJ26" t="str">
        <f>IF($A$21="Staffel Süd",L$53,IF($A$21="Staffel Ost",L$13,""))</f>
        <v/>
      </c>
      <c r="AK26" t="str">
        <f>IF($A$21="Staffel Süd",M$53,IF($A$21="Staffel Ost",M$13,""))</f>
        <v/>
      </c>
      <c r="AL26" t="str">
        <f>IF($A$21="Staffel Süd",K$54,IF($A$21="Staffel Ost",K$14,""))</f>
        <v/>
      </c>
      <c r="AM26" t="str">
        <f>IF($A$21="Staffel Süd",L$54,IF($A$21="Staffel Ost",L$14,""))</f>
        <v/>
      </c>
      <c r="AN26" t="str">
        <f>IF($A$21="Staffel Süd",M$54,IF($A$21="Staffel Ost",M$14,""))</f>
        <v/>
      </c>
      <c r="AO26" t="str">
        <f>IF($A$21="Staffel Süd",K$55,IF($A$21="Staffel Ost",K$15,""))</f>
        <v/>
      </c>
      <c r="AP26" t="str">
        <f>IF($A$21="Staffel Süd",L$55,IF($A$21="Staffel Ost",L$15,""))</f>
        <v/>
      </c>
      <c r="AQ26" t="str">
        <f>IF($A$21="Staffel Süd",M$55,IF($A$21="Staffel Ost",M$15,""))</f>
        <v/>
      </c>
      <c r="AR26" t="str">
        <f>IF($A$21="Staffel Süd",K$56,IF($A$21="Staffel Ost",K$16,""))</f>
        <v/>
      </c>
      <c r="AS26" t="str">
        <f>IF($A$21="Staffel Süd",L$56,IF($A$21="Staffel Ost",L$16,""))</f>
        <v/>
      </c>
      <c r="AT26" t="str">
        <f>IF($A$21="Staffel Süd",M$56,IF($A$21="Staffel Ost",M$16,""))</f>
        <v/>
      </c>
      <c r="AU26" t="str">
        <f>IF($A$21="Staffel Süd",K$57,IF($A$21="Staffel Ost",K$17,""))</f>
        <v/>
      </c>
      <c r="AV26" t="str">
        <f>IF($A$21="Staffel Süd",L$57,IF($A$21="Staffel Ost",L$17,""))</f>
        <v/>
      </c>
      <c r="AW26" t="str">
        <f>IF($A$21="Staffel Süd",M$57,IF($A$21="Staffel Ost",M$17,""))</f>
        <v/>
      </c>
      <c r="AX26" t="str">
        <f>IF($A$21="Staffel Süd",K$58,IF($A$21="Staffel Ost",K$18,""))</f>
        <v/>
      </c>
      <c r="AY26" t="str">
        <f>IF($A$21="Staffel Süd",K$59,IF($A$21="Staffel Ost",K$19,""))</f>
        <v/>
      </c>
    </row>
    <row r="27" spans="1:51" x14ac:dyDescent="0.25">
      <c r="A27" t="str">
        <f>IF($A$21="Staffel Süd",N41,IF($A$21="Staffel Ost",N1,""))</f>
        <v/>
      </c>
      <c r="B27" t="str">
        <f>IF($A$21="Staffel Süd",N$42,IF($A$21="Staffel Ost",N$2,""))</f>
        <v/>
      </c>
      <c r="C27" t="str">
        <f>IF($A$21="Staffel Süd",O$42,IF($A$21="Staffel Ost",O$2,""))</f>
        <v/>
      </c>
      <c r="D27" t="str">
        <f>IF($A$21="Staffel Süd",P$42,IF($A$21="Staffel Ost",P$2,""))</f>
        <v/>
      </c>
      <c r="E27" t="str">
        <f>IF($A$21="Staffel Süd",N$43,IF($A$21="Staffel Ost",N$3,""))</f>
        <v/>
      </c>
      <c r="F27" t="str">
        <f>IF($A$21="Staffel Süd",O$43,IF($A$21="Staffel Ost",O$3,""))</f>
        <v/>
      </c>
      <c r="G27" t="str">
        <f>IF($A$21="Staffel Süd",P$43,IF($A$21="Staffel Ost",P$3,""))</f>
        <v/>
      </c>
      <c r="H27" t="str">
        <f>IF($A$21="Staffel Süd",N$44,IF($A$21="Staffel Ost",N$4,""))</f>
        <v/>
      </c>
      <c r="I27" t="str">
        <f>IF($A$21="Staffel Süd",O$44,IF($A$21="Staffel Ost",O$4,""))</f>
        <v/>
      </c>
      <c r="J27" t="str">
        <f>IF($A$21="Staffel Süd",P$44,IF($A$21="Staffel Ost",P$4,""))</f>
        <v/>
      </c>
      <c r="K27" t="str">
        <f>IF($A$21="Staffel Süd",N$45,IF($A$21="Staffel Ost",N$5,""))</f>
        <v/>
      </c>
      <c r="L27" t="str">
        <f>IF($A$21="Staffel Süd",O$45,IF($A$21="Staffel Ost",O$5,""))</f>
        <v/>
      </c>
      <c r="M27" t="str">
        <f>IF($A$21="Staffel Süd",P$45,IF($A$21="Staffel Ost",P$5,""))</f>
        <v/>
      </c>
      <c r="N27" t="str">
        <f>IF($A$21="Staffel Süd",N$46,IF($A$21="Staffel Ost",N$6,""))</f>
        <v/>
      </c>
      <c r="O27" t="str">
        <f>IF($A$21="Staffel Süd",O$46,IF($A$21="Staffel Ost",O$6,""))</f>
        <v/>
      </c>
      <c r="P27" t="str">
        <f>IF($A$21="Staffel Süd",P$46,IF($A$21="Staffel Ost",P$6,""))</f>
        <v/>
      </c>
      <c r="Q27" t="str">
        <f>IF($A$21="Staffel Süd",N$47,IF($A$21="Staffel Ost",N$7,""))</f>
        <v/>
      </c>
      <c r="R27" t="str">
        <f>IF($A$21="Staffel Süd",O$47,IF($A$21="Staffel Ost",O$7,""))</f>
        <v/>
      </c>
      <c r="S27" t="str">
        <f>IF($A$21="Staffel Süd",P$47,IF($A$21="Staffel Ost",P$7,""))</f>
        <v/>
      </c>
      <c r="T27" t="str">
        <f>IF($A$21="Staffel Süd",N$48,IF($A$21="Staffel Ost",N$8,""))</f>
        <v/>
      </c>
      <c r="U27" t="str">
        <f>IF($A$21="Staffel Süd",O$48,IF($A$21="Staffel Ost",O$8,""))</f>
        <v/>
      </c>
      <c r="V27" t="str">
        <f>IF($A$21="Staffel Süd",P$48,IF($A$21="Staffel Ost",P$8,""))</f>
        <v/>
      </c>
      <c r="W27" t="str">
        <f>IF($A$21="Staffel Süd",N$49,IF($A$21="Staffel Ost",N$9,""))</f>
        <v/>
      </c>
      <c r="X27" t="str">
        <f>IF($A$21="Staffel Süd",O$49,IF($A$21="Staffel Ost",O$9,""))</f>
        <v/>
      </c>
      <c r="Y27" t="str">
        <f>IF($A$21="Staffel Süd",P$49,IF($A$21="Staffel Ost",P$9,""))</f>
        <v/>
      </c>
      <c r="Z27" t="str">
        <f>IF($A$21="Staffel Süd",N$50,IF($A$21="Staffel Ost",N$10,""))</f>
        <v/>
      </c>
      <c r="AA27" t="str">
        <f>IF($A$21="Staffel Süd",O$50,IF($A$21="Staffel Ost",O$10,""))</f>
        <v/>
      </c>
      <c r="AB27" t="str">
        <f>IF($A$21="Staffel Süd",P$50,IF($A$21="Staffel Ost",P$10,""))</f>
        <v/>
      </c>
      <c r="AC27" t="str">
        <f>IF($A$21="Staffel Süd",N$51,IF($A$21="Staffel Ost",N$11,""))</f>
        <v/>
      </c>
      <c r="AD27" t="str">
        <f>IF($A$21="Staffel Süd",O$51,IF($A$21="Staffel Ost",O$11,""))</f>
        <v/>
      </c>
      <c r="AE27" t="str">
        <f>IF($A$21="Staffel Süd",P$51,IF($A$21="Staffel Ost",P$11,""))</f>
        <v/>
      </c>
      <c r="AF27" t="str">
        <f>IF($A$21="Staffel Süd",N$52,IF($A$21="Staffel Ost",N$12,""))</f>
        <v/>
      </c>
      <c r="AG27" t="str">
        <f>IF($A$21="Staffel Süd",O$52,IF($A$21="Staffel Ost",O$12,""))</f>
        <v/>
      </c>
      <c r="AH27" t="str">
        <f>IF($A$21="Staffel Süd",P$52,IF($A$21="Staffel Ost",P$12,""))</f>
        <v/>
      </c>
      <c r="AI27" t="str">
        <f>IF($A$21="Staffel Süd",N$53,IF($A$21="Staffel Ost",N$13,""))</f>
        <v/>
      </c>
      <c r="AJ27" t="str">
        <f>IF($A$21="Staffel Süd",O$53,IF($A$21="Staffel Ost",O$13,""))</f>
        <v/>
      </c>
      <c r="AK27" t="str">
        <f>IF($A$21="Staffel Süd",P$53,IF($A$21="Staffel Ost",P$13,""))</f>
        <v/>
      </c>
      <c r="AL27" t="str">
        <f>IF($A$21="Staffel Süd",N$54,IF($A$21="Staffel Ost",N$14,""))</f>
        <v/>
      </c>
      <c r="AM27" t="str">
        <f>IF($A$21="Staffel Süd",O$54,IF($A$21="Staffel Ost",O$14,""))</f>
        <v/>
      </c>
      <c r="AN27" t="str">
        <f>IF($A$21="Staffel Süd",P$54,IF($A$21="Staffel Ost",P$14,""))</f>
        <v/>
      </c>
      <c r="AO27" t="str">
        <f>IF($A$21="Staffel Süd",N$55,IF($A$21="Staffel Ost",N$15,""))</f>
        <v/>
      </c>
      <c r="AP27" t="str">
        <f>IF($A$21="Staffel Süd",O$55,IF($A$21="Staffel Ost",O$15,""))</f>
        <v/>
      </c>
      <c r="AQ27" t="str">
        <f>IF($A$21="Staffel Süd",P$55,IF($A$21="Staffel Ost",P$15,""))</f>
        <v/>
      </c>
      <c r="AR27" t="str">
        <f>IF($A$21="Staffel Süd",N$56,IF($A$21="Staffel Ost",N$16,""))</f>
        <v/>
      </c>
      <c r="AS27" t="str">
        <f>IF($A$21="Staffel Süd",O$56,IF($A$21="Staffel Ost",O$16,""))</f>
        <v/>
      </c>
      <c r="AT27" t="str">
        <f>IF($A$21="Staffel Süd",P$56,IF($A$21="Staffel Ost",P$16,""))</f>
        <v/>
      </c>
      <c r="AU27" t="str">
        <f>IF($A$21="Staffel Süd",N$57,IF($A$21="Staffel Ost",N$17,""))</f>
        <v/>
      </c>
      <c r="AV27" t="str">
        <f>IF($A$21="Staffel Süd",O$57,IF($A$21="Staffel Ost",O$17,""))</f>
        <v/>
      </c>
      <c r="AW27" t="str">
        <f>IF($A$21="Staffel Süd",P$57,IF($A$21="Staffel Ost",P$17,""))</f>
        <v/>
      </c>
      <c r="AX27" t="str">
        <f>IF($A$21="Staffel Süd",N$58,IF($A$21="Staffel Ost",N$18,""))</f>
        <v/>
      </c>
      <c r="AY27" t="str">
        <f>IF($A$21="Staffel Süd",N$59,IF($A$21="Staffel Ost",N$19,""))</f>
        <v/>
      </c>
    </row>
    <row r="28" spans="1:51" x14ac:dyDescent="0.25">
      <c r="A28" t="str">
        <f>IF($A$21="Staffel Süd",Q41,IF($A$21="Staffel Ost",Q1,""))</f>
        <v/>
      </c>
      <c r="B28" t="str">
        <f>IF($A$21="Staffel Süd",Q$42,IF($A$21="Staffel Ost",Q$2,""))</f>
        <v/>
      </c>
      <c r="C28" t="str">
        <f>IF($A$21="Staffel Süd",R$42,IF($A$21="Staffel Ost",R$2,""))</f>
        <v/>
      </c>
      <c r="D28" t="str">
        <f>IF($A$21="Staffel Süd",S$42,IF($A$21="Staffel Ost",S$2,""))</f>
        <v/>
      </c>
      <c r="E28" t="str">
        <f>IF($A$21="Staffel Süd",Q$43,IF($A$21="Staffel Ost",Q$3,""))</f>
        <v/>
      </c>
      <c r="F28" t="str">
        <f>IF($A$21="Staffel Süd",R$43,IF($A$21="Staffel Ost",R$3,""))</f>
        <v/>
      </c>
      <c r="G28" t="str">
        <f>IF($A$21="Staffel Süd",S$43,IF($A$21="Staffel Ost",S$3,""))</f>
        <v/>
      </c>
      <c r="H28" t="str">
        <f>IF($A$21="Staffel Süd",Q$44,IF($A$21="Staffel Ost",Q$4,""))</f>
        <v/>
      </c>
      <c r="I28" t="str">
        <f>IF($A$21="Staffel Süd",R$44,IF($A$21="Staffel Ost",R$4,""))</f>
        <v/>
      </c>
      <c r="J28" t="str">
        <f>IF($A$21="Staffel Süd",S$44,IF($A$21="Staffel Ost",S$4,""))</f>
        <v/>
      </c>
      <c r="K28" t="str">
        <f>IF($A$21="Staffel Süd",Q$45,IF($A$21="Staffel Ost",Q$5,""))</f>
        <v/>
      </c>
      <c r="L28" t="str">
        <f>IF($A$21="Staffel Süd",R$45,IF($A$21="Staffel Ost",R$5,""))</f>
        <v/>
      </c>
      <c r="M28" t="str">
        <f>IF($A$21="Staffel Süd",S$45,IF($A$21="Staffel Ost",S$5,""))</f>
        <v/>
      </c>
      <c r="N28" t="str">
        <f>IF($A$21="Staffel Süd",Q$46,IF($A$21="Staffel Ost",Q$6,""))</f>
        <v/>
      </c>
      <c r="O28" t="str">
        <f>IF($A$21="Staffel Süd",R$46,IF($A$21="Staffel Ost",R$6,""))</f>
        <v/>
      </c>
      <c r="P28" t="str">
        <f>IF($A$21="Staffel Süd",S$46,IF($A$21="Staffel Ost",S$6,""))</f>
        <v/>
      </c>
      <c r="Q28" t="str">
        <f>IF($A$21="Staffel Süd",Q$47,IF($A$21="Staffel Ost",Q$7,""))</f>
        <v/>
      </c>
      <c r="R28" t="str">
        <f>IF($A$21="Staffel Süd",R$47,IF($A$21="Staffel Ost",R$7,""))</f>
        <v/>
      </c>
      <c r="S28" t="str">
        <f>IF($A$21="Staffel Süd",S$47,IF($A$21="Staffel Ost",S$7,""))</f>
        <v/>
      </c>
      <c r="T28" t="str">
        <f>IF($A$21="Staffel Süd",Q$48,IF($A$21="Staffel Ost",Q$8,""))</f>
        <v/>
      </c>
      <c r="U28" t="str">
        <f>IF($A$21="Staffel Süd",R$48,IF($A$21="Staffel Ost",R$8,""))</f>
        <v/>
      </c>
      <c r="V28" t="str">
        <f>IF($A$21="Staffel Süd",S$48,IF($A$21="Staffel Ost",S$8,""))</f>
        <v/>
      </c>
      <c r="W28" t="str">
        <f>IF($A$21="Staffel Süd",Q$49,IF($A$21="Staffel Ost",Q$9,""))</f>
        <v/>
      </c>
      <c r="X28" t="str">
        <f>IF($A$21="Staffel Süd",R$49,IF($A$21="Staffel Ost",R$9,""))</f>
        <v/>
      </c>
      <c r="Y28" t="str">
        <f>IF($A$21="Staffel Süd",S$49,IF($A$21="Staffel Ost",S$9,""))</f>
        <v/>
      </c>
      <c r="Z28" t="str">
        <f>IF($A$21="Staffel Süd",Q$50,IF($A$21="Staffel Ost",Q$10,""))</f>
        <v/>
      </c>
      <c r="AA28" t="str">
        <f>IF($A$21="Staffel Süd",R$50,IF($A$21="Staffel Ost",R$10,""))</f>
        <v/>
      </c>
      <c r="AB28" t="str">
        <f>IF($A$21="Staffel Süd",S$50,IF($A$21="Staffel Ost",S$10,""))</f>
        <v/>
      </c>
      <c r="AC28" t="str">
        <f>IF($A$21="Staffel Süd",Q$51,IF($A$21="Staffel Ost",Q$11,""))</f>
        <v/>
      </c>
      <c r="AD28" t="str">
        <f>IF($A$21="Staffel Süd",R$51,IF($A$21="Staffel Ost",R$11,""))</f>
        <v/>
      </c>
      <c r="AE28" t="str">
        <f>IF($A$21="Staffel Süd",S$51,IF($A$21="Staffel Ost",S$11,""))</f>
        <v/>
      </c>
      <c r="AF28" t="str">
        <f>IF($A$21="Staffel Süd",Q$52,IF($A$21="Staffel Ost",Q$12,""))</f>
        <v/>
      </c>
      <c r="AG28" t="str">
        <f>IF($A$21="Staffel Süd",R$52,IF($A$21="Staffel Ost",R$12,""))</f>
        <v/>
      </c>
      <c r="AH28" t="str">
        <f>IF($A$21="Staffel Süd",S$52,IF($A$21="Staffel Ost",S$12,""))</f>
        <v/>
      </c>
      <c r="AI28" t="str">
        <f>IF($A$21="Staffel Süd",Q$53,IF($A$21="Staffel Ost",Q$13,""))</f>
        <v/>
      </c>
      <c r="AJ28" t="str">
        <f>IF($A$21="Staffel Süd",R$53,IF($A$21="Staffel Ost",R$13,""))</f>
        <v/>
      </c>
      <c r="AK28" t="str">
        <f>IF($A$21="Staffel Süd",S$53,IF($A$21="Staffel Ost",S$13,""))</f>
        <v/>
      </c>
      <c r="AL28" t="str">
        <f>IF($A$21="Staffel Süd",Q$54,IF($A$21="Staffel Ost",Q$14,""))</f>
        <v/>
      </c>
      <c r="AM28" t="str">
        <f>IF($A$21="Staffel Süd",R$54,IF($A$21="Staffel Ost",R$14,""))</f>
        <v/>
      </c>
      <c r="AN28" t="str">
        <f>IF($A$21="Staffel Süd",S$54,IF($A$21="Staffel Ost",S$14,""))</f>
        <v/>
      </c>
      <c r="AO28" t="str">
        <f>IF($A$21="Staffel Süd",Q$55,IF($A$21="Staffel Ost",Q$15,""))</f>
        <v/>
      </c>
      <c r="AP28" t="str">
        <f>IF($A$21="Staffel Süd",R$55,IF($A$21="Staffel Ost",R$15,""))</f>
        <v/>
      </c>
      <c r="AQ28" t="str">
        <f>IF($A$21="Staffel Süd",S$55,IF($A$21="Staffel Ost",S$15,""))</f>
        <v/>
      </c>
      <c r="AR28" t="str">
        <f>IF($A$21="Staffel Süd",Q$56,IF($A$21="Staffel Ost",Q$16,""))</f>
        <v/>
      </c>
      <c r="AS28" t="str">
        <f>IF($A$21="Staffel Süd",R$56,IF($A$21="Staffel Ost",R$16,""))</f>
        <v/>
      </c>
      <c r="AT28" t="str">
        <f>IF($A$21="Staffel Süd",S$56,IF($A$21="Staffel Ost",S$16,""))</f>
        <v/>
      </c>
      <c r="AU28" t="str">
        <f>IF($A$21="Staffel Süd",Q$57,IF($A$21="Staffel Ost",Q$17,""))</f>
        <v/>
      </c>
      <c r="AV28" t="str">
        <f>IF($A$21="Staffel Süd",R$57,IF($A$21="Staffel Ost",R$17,""))</f>
        <v/>
      </c>
      <c r="AW28" t="str">
        <f>IF($A$21="Staffel Süd",S$57,IF($A$21="Staffel Ost",S$17,""))</f>
        <v/>
      </c>
      <c r="AX28" t="str">
        <f>IF($A$21="Staffel Süd",Q$58,IF($A$21="Staffel Ost",Q$18,""))</f>
        <v/>
      </c>
      <c r="AY28" t="str">
        <f>IF($A$21="Staffel Süd",Q$59,IF($A$21="Staffel Ost",Q$19,""))</f>
        <v/>
      </c>
    </row>
    <row r="29" spans="1:51" x14ac:dyDescent="0.25">
      <c r="A29" t="str">
        <f>IF($A$21="Staffel Süd",T41,IF($A$21="Staffel Ost",T1,""))</f>
        <v/>
      </c>
      <c r="B29" t="str">
        <f>IF($A$21="Staffel Süd",T$42,IF($A$21="Staffel Ost",T$2,""))</f>
        <v/>
      </c>
      <c r="C29" t="str">
        <f>IF($A$21="Staffel Süd",U$42,IF($A$21="Staffel Ost",U$2,""))</f>
        <v/>
      </c>
      <c r="D29" t="str">
        <f>IF($A$21="Staffel Süd",V$42,IF($A$21="Staffel Ost",V$2,""))</f>
        <v/>
      </c>
      <c r="E29" t="str">
        <f>IF($A$21="Staffel Süd",T$43,IF($A$21="Staffel Ost",T$3,""))</f>
        <v/>
      </c>
      <c r="F29" t="str">
        <f>IF($A$21="Staffel Süd",U$43,IF($A$21="Staffel Ost",U$3,""))</f>
        <v/>
      </c>
      <c r="G29" t="str">
        <f>IF($A$21="Staffel Süd",V$43,IF($A$21="Staffel Ost",V$3,""))</f>
        <v/>
      </c>
      <c r="H29" t="str">
        <f>IF($A$21="Staffel Süd",T$44,IF($A$21="Staffel Ost",T$4,""))</f>
        <v/>
      </c>
      <c r="I29" t="str">
        <f>IF($A$21="Staffel Süd",U$44,IF($A$21="Staffel Ost",U$4,""))</f>
        <v/>
      </c>
      <c r="J29" t="str">
        <f>IF($A$21="Staffel Süd",V$44,IF($A$21="Staffel Ost",V$4,""))</f>
        <v/>
      </c>
      <c r="K29" t="str">
        <f>IF($A$21="Staffel Süd",T$45,IF($A$21="Staffel Ost",T$5,""))</f>
        <v/>
      </c>
      <c r="L29" t="str">
        <f>IF($A$21="Staffel Süd",U$45,IF($A$21="Staffel Ost",U$5,""))</f>
        <v/>
      </c>
      <c r="M29" t="str">
        <f>IF($A$21="Staffel Süd",V$45,IF($A$21="Staffel Ost",V$5,""))</f>
        <v/>
      </c>
      <c r="N29" t="str">
        <f>IF($A$21="Staffel Süd",T$46,IF($A$21="Staffel Ost",T$6,""))</f>
        <v/>
      </c>
      <c r="O29" t="str">
        <f>IF($A$21="Staffel Süd",U$46,IF($A$21="Staffel Ost",U$6,""))</f>
        <v/>
      </c>
      <c r="P29" t="str">
        <f>IF($A$21="Staffel Süd",V$46,IF($A$21="Staffel Ost",V$6,""))</f>
        <v/>
      </c>
      <c r="Q29" t="str">
        <f>IF($A$21="Staffel Süd",T$47,IF($A$21="Staffel Ost",T$7,""))</f>
        <v/>
      </c>
      <c r="R29" t="str">
        <f>IF($A$21="Staffel Süd",U$47,IF($A$21="Staffel Ost",U$7,""))</f>
        <v/>
      </c>
      <c r="S29" t="str">
        <f>IF($A$21="Staffel Süd",V$47,IF($A$21="Staffel Ost",V$7,""))</f>
        <v/>
      </c>
      <c r="T29" t="str">
        <f>IF($A$21="Staffel Süd",T$48,IF($A$21="Staffel Ost",T$8,""))</f>
        <v/>
      </c>
      <c r="U29" t="str">
        <f>IF($A$21="Staffel Süd",U$48,IF($A$21="Staffel Ost",U$8,""))</f>
        <v/>
      </c>
      <c r="V29" t="str">
        <f>IF($A$21="Staffel Süd",V$48,IF($A$21="Staffel Ost",V$8,""))</f>
        <v/>
      </c>
      <c r="W29" t="str">
        <f>IF($A$21="Staffel Süd",T$49,IF($A$21="Staffel Ost",T$9,""))</f>
        <v/>
      </c>
      <c r="X29" t="str">
        <f>IF($A$21="Staffel Süd",U$49,IF($A$21="Staffel Ost",U$9,""))</f>
        <v/>
      </c>
      <c r="Y29" t="str">
        <f>IF($A$21="Staffel Süd",V$49,IF($A$21="Staffel Ost",V$9,""))</f>
        <v/>
      </c>
      <c r="Z29" t="str">
        <f>IF($A$21="Staffel Süd",T$50,IF($A$21="Staffel Ost",T$10,""))</f>
        <v/>
      </c>
      <c r="AA29" t="str">
        <f>IF($A$21="Staffel Süd",U$50,IF($A$21="Staffel Ost",U$10,""))</f>
        <v/>
      </c>
      <c r="AB29" t="str">
        <f>IF($A$21="Staffel Süd",V$50,IF($A$21="Staffel Ost",V$10,""))</f>
        <v/>
      </c>
      <c r="AC29" t="str">
        <f>IF($A$21="Staffel Süd",T$51,IF($A$21="Staffel Ost",T$11,""))</f>
        <v/>
      </c>
      <c r="AD29" t="str">
        <f>IF($A$21="Staffel Süd",U$51,IF($A$21="Staffel Ost",U$11,""))</f>
        <v/>
      </c>
      <c r="AE29" t="str">
        <f>IF($A$21="Staffel Süd",V$51,IF($A$21="Staffel Ost",V$11,""))</f>
        <v/>
      </c>
      <c r="AF29" t="str">
        <f>IF($A$21="Staffel Süd",T$52,IF($A$21="Staffel Ost",T$12,""))</f>
        <v/>
      </c>
      <c r="AG29" t="str">
        <f>IF($A$21="Staffel Süd",U$52,IF($A$21="Staffel Ost",U$12,""))</f>
        <v/>
      </c>
      <c r="AH29" t="str">
        <f>IF($A$21="Staffel Süd",V$52,IF($A$21="Staffel Ost",V$12,""))</f>
        <v/>
      </c>
      <c r="AI29" t="str">
        <f>IF($A$21="Staffel Süd",T$53,IF($A$21="Staffel Ost",T$13,""))</f>
        <v/>
      </c>
      <c r="AJ29" t="str">
        <f>IF($A$21="Staffel Süd",U$53,IF($A$21="Staffel Ost",U$13,""))</f>
        <v/>
      </c>
      <c r="AK29" t="str">
        <f>IF($A$21="Staffel Süd",V$53,IF($A$21="Staffel Ost",V$13,""))</f>
        <v/>
      </c>
      <c r="AL29" t="str">
        <f>IF($A$21="Staffel Süd",T$54,IF($A$21="Staffel Ost",T$14,""))</f>
        <v/>
      </c>
      <c r="AM29" t="str">
        <f>IF($A$21="Staffel Süd",U$54,IF($A$21="Staffel Ost",U$14,""))</f>
        <v/>
      </c>
      <c r="AN29" t="str">
        <f>IF($A$21="Staffel Süd",V$54,IF($A$21="Staffel Ost",V$14,""))</f>
        <v/>
      </c>
      <c r="AO29" t="str">
        <f>IF($A$21="Staffel Süd",T$55,IF($A$21="Staffel Ost",T$15,""))</f>
        <v/>
      </c>
      <c r="AP29" t="str">
        <f>IF($A$21="Staffel Süd",U$55,IF($A$21="Staffel Ost",U$15,""))</f>
        <v/>
      </c>
      <c r="AQ29" t="str">
        <f>IF($A$21="Staffel Süd",V$55,IF($A$21="Staffel Ost",V$15,""))</f>
        <v/>
      </c>
      <c r="AR29" t="str">
        <f>IF($A$21="Staffel Süd",T$56,IF($A$21="Staffel Ost",T$16,""))</f>
        <v/>
      </c>
      <c r="AS29" t="str">
        <f>IF($A$21="Staffel Süd",U$56,IF($A$21="Staffel Ost",U$16,""))</f>
        <v/>
      </c>
      <c r="AT29" t="str">
        <f>IF($A$21="Staffel Süd",V$56,IF($A$21="Staffel Ost",V$16,""))</f>
        <v/>
      </c>
      <c r="AU29" t="str">
        <f>IF($A$21="Staffel Süd",T$57,IF($A$21="Staffel Ost",T$17,""))</f>
        <v/>
      </c>
      <c r="AV29" t="str">
        <f>IF($A$21="Staffel Süd",U$57,IF($A$21="Staffel Ost",U$17,""))</f>
        <v/>
      </c>
      <c r="AW29" t="str">
        <f>IF($A$21="Staffel Süd",V$57,IF($A$21="Staffel Ost",V$17,""))</f>
        <v/>
      </c>
      <c r="AX29" t="str">
        <f>IF($A$21="Staffel Süd",T$58,IF($A$21="Staffel Ost",T$18,""))</f>
        <v/>
      </c>
      <c r="AY29" t="str">
        <f>IF($A$21="Staffel Süd",T$59,IF($A$21="Staffel Ost",T$19,""))</f>
        <v/>
      </c>
    </row>
    <row r="30" spans="1:51" x14ac:dyDescent="0.25">
      <c r="A30" t="str">
        <f>IF($A$21="Staffel Süd",W41,IF($A$21="Staffel Ost",W1,""))</f>
        <v/>
      </c>
      <c r="B30" t="str">
        <f>IF($A$21="Staffel Süd",W$42,IF($A$21="Staffel Ost",W$2,""))</f>
        <v/>
      </c>
      <c r="C30" t="str">
        <f>IF($A$21="Staffel Süd",X$42,IF($A$21="Staffel Ost",X$2,""))</f>
        <v/>
      </c>
      <c r="D30" t="str">
        <f>IF($A$21="Staffel Süd",Y$42,IF($A$21="Staffel Ost",Y$2,""))</f>
        <v/>
      </c>
      <c r="E30" t="str">
        <f>IF($A$21="Staffel Süd",W$43,IF($A$21="Staffel Ost",W$3,""))</f>
        <v/>
      </c>
      <c r="F30" t="str">
        <f>IF($A$21="Staffel Süd",X$43,IF($A$21="Staffel Ost",X$3,""))</f>
        <v/>
      </c>
      <c r="G30" t="str">
        <f>IF($A$21="Staffel Süd",Y$43,IF($A$21="Staffel Ost",Y$3,""))</f>
        <v/>
      </c>
      <c r="H30" t="str">
        <f>IF($A$21="Staffel Süd",W$44,IF($A$21="Staffel Ost",W$4,""))</f>
        <v/>
      </c>
      <c r="I30" t="str">
        <f>IF($A$21="Staffel Süd",X$44,IF($A$21="Staffel Ost",X$4,""))</f>
        <v/>
      </c>
      <c r="J30" t="str">
        <f>IF($A$21="Staffel Süd",Y$44,IF($A$21="Staffel Ost",Y$4,""))</f>
        <v/>
      </c>
      <c r="K30" t="str">
        <f>IF($A$21="Staffel Süd",W$45,IF($A$21="Staffel Ost",W$5,""))</f>
        <v/>
      </c>
      <c r="L30" t="str">
        <f>IF($A$21="Staffel Süd",X$45,IF($A$21="Staffel Ost",X$5,""))</f>
        <v/>
      </c>
      <c r="M30" t="str">
        <f>IF($A$21="Staffel Süd",Y$45,IF($A$21="Staffel Ost",Y$5,""))</f>
        <v/>
      </c>
      <c r="N30" t="str">
        <f>IF($A$21="Staffel Süd",W$46,IF($A$21="Staffel Ost",W$6,""))</f>
        <v/>
      </c>
      <c r="O30" t="str">
        <f>IF($A$21="Staffel Süd",X$46,IF($A$21="Staffel Ost",X$6,""))</f>
        <v/>
      </c>
      <c r="P30" t="str">
        <f>IF($A$21="Staffel Süd",Y$46,IF($A$21="Staffel Ost",Y$6,""))</f>
        <v/>
      </c>
      <c r="Q30" t="str">
        <f>IF($A$21="Staffel Süd",W$47,IF($A$21="Staffel Ost",W$7,""))</f>
        <v/>
      </c>
      <c r="R30" t="str">
        <f>IF($A$21="Staffel Süd",X$47,IF($A$21="Staffel Ost",X$7,""))</f>
        <v/>
      </c>
      <c r="S30" t="str">
        <f>IF($A$21="Staffel Süd",Y$47,IF($A$21="Staffel Ost",Y$7,""))</f>
        <v/>
      </c>
      <c r="T30" t="str">
        <f>IF($A$21="Staffel Süd",W$48,IF($A$21="Staffel Ost",W$8,""))</f>
        <v/>
      </c>
      <c r="U30" t="str">
        <f>IF($A$21="Staffel Süd",X$48,IF($A$21="Staffel Ost",X$8,""))</f>
        <v/>
      </c>
      <c r="V30" t="str">
        <f>IF($A$21="Staffel Süd",Y$48,IF($A$21="Staffel Ost",Y$8,""))</f>
        <v/>
      </c>
      <c r="W30" t="str">
        <f>IF($A$21="Staffel Süd",W$49,IF($A$21="Staffel Ost",W$9,""))</f>
        <v/>
      </c>
      <c r="X30" t="str">
        <f>IF($A$21="Staffel Süd",X$49,IF($A$21="Staffel Ost",X$9,""))</f>
        <v/>
      </c>
      <c r="Y30" t="str">
        <f>IF($A$21="Staffel Süd",Y$49,IF($A$21="Staffel Ost",Y$9,""))</f>
        <v/>
      </c>
      <c r="Z30" t="str">
        <f>IF($A$21="Staffel Süd",W$50,IF($A$21="Staffel Ost",W$10,""))</f>
        <v/>
      </c>
      <c r="AA30" t="str">
        <f>IF($A$21="Staffel Süd",X$50,IF($A$21="Staffel Ost",X$10,""))</f>
        <v/>
      </c>
      <c r="AB30" t="str">
        <f>IF($A$21="Staffel Süd",Y$50,IF($A$21="Staffel Ost",Y$10,""))</f>
        <v/>
      </c>
      <c r="AC30" t="str">
        <f>IF($A$21="Staffel Süd",W$51,IF($A$21="Staffel Ost",W$11,""))</f>
        <v/>
      </c>
      <c r="AD30" t="str">
        <f>IF($A$21="Staffel Süd",X$51,IF($A$21="Staffel Ost",X$11,""))</f>
        <v/>
      </c>
      <c r="AE30" t="str">
        <f>IF($A$21="Staffel Süd",Y$51,IF($A$21="Staffel Ost",Y$11,""))</f>
        <v/>
      </c>
      <c r="AF30" t="str">
        <f>IF($A$21="Staffel Süd",W$52,IF($A$21="Staffel Ost",W$12,""))</f>
        <v/>
      </c>
      <c r="AG30" t="str">
        <f>IF($A$21="Staffel Süd",X$52,IF($A$21="Staffel Ost",X$12,""))</f>
        <v/>
      </c>
      <c r="AH30" t="str">
        <f>IF($A$21="Staffel Süd",Y$52,IF($A$21="Staffel Ost",Y$12,""))</f>
        <v/>
      </c>
      <c r="AI30" t="str">
        <f>IF($A$21="Staffel Süd",W$53,IF($A$21="Staffel Ost",W$13,""))</f>
        <v/>
      </c>
      <c r="AJ30" t="str">
        <f>IF($A$21="Staffel Süd",X$53,IF($A$21="Staffel Ost",X$13,""))</f>
        <v/>
      </c>
      <c r="AK30" t="str">
        <f>IF($A$21="Staffel Süd",Y$53,IF($A$21="Staffel Ost",Y$13,""))</f>
        <v/>
      </c>
      <c r="AL30" t="str">
        <f>IF($A$21="Staffel Süd",W$54,IF($A$21="Staffel Ost",W$14,""))</f>
        <v/>
      </c>
      <c r="AM30" t="str">
        <f>IF($A$21="Staffel Süd",X$54,IF($A$21="Staffel Ost",X$14,""))</f>
        <v/>
      </c>
      <c r="AN30" t="str">
        <f>IF($A$21="Staffel Süd",Y$54,IF($A$21="Staffel Ost",Y$14,""))</f>
        <v/>
      </c>
      <c r="AO30" t="str">
        <f>IF($A$21="Staffel Süd",W$55,IF($A$21="Staffel Ost",W$15,""))</f>
        <v/>
      </c>
      <c r="AP30" t="str">
        <f>IF($A$21="Staffel Süd",X$55,IF($A$21="Staffel Ost",X$15,""))</f>
        <v/>
      </c>
      <c r="AQ30" t="str">
        <f>IF($A$21="Staffel Süd",Y$55,IF($A$21="Staffel Ost",Y$15,""))</f>
        <v/>
      </c>
      <c r="AR30" t="str">
        <f>IF($A$21="Staffel Süd",W$56,IF($A$21="Staffel Ost",W$16,""))</f>
        <v/>
      </c>
      <c r="AS30" t="str">
        <f>IF($A$21="Staffel Süd",X$56,IF($A$21="Staffel Ost",X$16,""))</f>
        <v/>
      </c>
      <c r="AT30" t="str">
        <f>IF($A$21="Staffel Süd",Y$56,IF($A$21="Staffel Ost",Y$16,""))</f>
        <v/>
      </c>
      <c r="AU30" t="str">
        <f>IF($A$21="Staffel Süd",W$57,IF($A$21="Staffel Ost",W$17,""))</f>
        <v/>
      </c>
      <c r="AV30" t="str">
        <f>IF($A$21="Staffel Süd",X$57,IF($A$21="Staffel Ost",X$17,""))</f>
        <v/>
      </c>
      <c r="AW30" t="str">
        <f>IF($A$21="Staffel Süd",Y$57,IF($A$21="Staffel Ost",Y$17,""))</f>
        <v/>
      </c>
      <c r="AX30" t="str">
        <f>IF($A$21="Staffel Süd",W$58,IF($A$21="Staffel Ost",W$18,""))</f>
        <v/>
      </c>
      <c r="AY30" t="str">
        <f>IF($A$21="Staffel Süd",W$59,IF($A$21="Staffel Ost",W$19,""))</f>
        <v/>
      </c>
    </row>
    <row r="31" spans="1:51" x14ac:dyDescent="0.25">
      <c r="D31" s="42"/>
      <c r="G31" s="42"/>
      <c r="J31" s="42"/>
      <c r="M31" s="42"/>
      <c r="AB31" s="114"/>
      <c r="AE31" s="114"/>
    </row>
    <row r="32" spans="1:51" hidden="1" x14ac:dyDescent="0.25">
      <c r="G32" s="114"/>
      <c r="J32" s="114"/>
      <c r="M32" s="114"/>
      <c r="AB32" s="114"/>
      <c r="AE32" s="114"/>
    </row>
    <row r="33" spans="1:31" hidden="1" x14ac:dyDescent="0.25">
      <c r="G33" s="114"/>
      <c r="J33" s="114"/>
      <c r="M33" s="114"/>
      <c r="P33" s="42"/>
      <c r="AB33" s="117"/>
      <c r="AE33" s="117"/>
    </row>
    <row r="34" spans="1:31" hidden="1" x14ac:dyDescent="0.25">
      <c r="D34" s="117"/>
      <c r="G34" s="117"/>
      <c r="J34" s="117"/>
      <c r="M34" s="117"/>
      <c r="AB34" s="117"/>
      <c r="AE34" s="117"/>
    </row>
    <row r="35" spans="1:31" hidden="1" x14ac:dyDescent="0.25">
      <c r="D35" s="117"/>
      <c r="G35" s="117"/>
      <c r="J35" s="117"/>
      <c r="M35" s="117"/>
      <c r="AB35" s="117"/>
      <c r="AE35" s="117"/>
    </row>
    <row r="36" spans="1:31" hidden="1" x14ac:dyDescent="0.25">
      <c r="D36" s="117"/>
      <c r="G36" s="117"/>
      <c r="J36" s="117"/>
      <c r="M36" s="117"/>
      <c r="AB36" s="117"/>
      <c r="AE36" s="117"/>
    </row>
    <row r="37" spans="1:31" hidden="1" x14ac:dyDescent="0.25">
      <c r="D37" s="117"/>
      <c r="G37" s="117"/>
      <c r="J37" s="117"/>
      <c r="M37" s="117"/>
      <c r="AB37" s="117"/>
      <c r="AE37" s="117"/>
    </row>
    <row r="38" spans="1:31" hidden="1" x14ac:dyDescent="0.25">
      <c r="D38" s="117"/>
      <c r="G38" s="117"/>
      <c r="J38" s="117"/>
      <c r="M38" s="117"/>
      <c r="AB38" s="117"/>
      <c r="AE38" s="117"/>
    </row>
    <row r="39" spans="1:31" hidden="1" x14ac:dyDescent="0.25"/>
    <row r="40" spans="1:31" ht="15.75" thickBot="1" x14ac:dyDescent="0.3"/>
    <row r="41" spans="1:31" x14ac:dyDescent="0.25">
      <c r="A41" s="164" t="s">
        <v>719</v>
      </c>
      <c r="B41" s="179" t="s">
        <v>572</v>
      </c>
      <c r="C41" s="180"/>
      <c r="D41" s="181"/>
      <c r="E41" s="179" t="s">
        <v>598</v>
      </c>
      <c r="F41" s="180"/>
      <c r="G41" s="181"/>
      <c r="H41" s="179" t="s">
        <v>617</v>
      </c>
      <c r="I41" s="180"/>
      <c r="J41" s="181"/>
      <c r="K41" s="179" t="s">
        <v>639</v>
      </c>
      <c r="L41" s="180"/>
      <c r="M41" s="181"/>
      <c r="N41" s="179" t="s">
        <v>384</v>
      </c>
      <c r="O41" s="180"/>
      <c r="P41" s="181"/>
      <c r="Q41" s="179" t="s">
        <v>356</v>
      </c>
      <c r="R41" s="180"/>
      <c r="S41" s="181"/>
      <c r="T41" s="179" t="s">
        <v>660</v>
      </c>
      <c r="U41" s="180"/>
      <c r="V41" s="181"/>
      <c r="W41" s="179" t="s">
        <v>687</v>
      </c>
      <c r="X41" s="180"/>
      <c r="Y41" s="181"/>
    </row>
    <row r="42" spans="1:31" x14ac:dyDescent="0.25">
      <c r="A42" s="164" t="s">
        <v>15</v>
      </c>
      <c r="B42" s="167" t="s">
        <v>573</v>
      </c>
      <c r="C42" s="168" t="s">
        <v>574</v>
      </c>
      <c r="D42" s="169" t="s">
        <v>79</v>
      </c>
      <c r="E42" s="167" t="s">
        <v>599</v>
      </c>
      <c r="F42" s="168" t="s">
        <v>600</v>
      </c>
      <c r="G42" s="169" t="s">
        <v>79</v>
      </c>
      <c r="H42" s="167" t="s">
        <v>618</v>
      </c>
      <c r="I42" s="168" t="s">
        <v>619</v>
      </c>
      <c r="J42" s="169" t="s">
        <v>79</v>
      </c>
      <c r="K42" s="167" t="s">
        <v>395</v>
      </c>
      <c r="L42" s="168" t="s">
        <v>640</v>
      </c>
      <c r="M42" s="169" t="s">
        <v>79</v>
      </c>
      <c r="N42" s="167" t="s">
        <v>385</v>
      </c>
      <c r="O42" s="168" t="s">
        <v>369</v>
      </c>
      <c r="P42" s="169" t="s">
        <v>79</v>
      </c>
      <c r="Q42" s="167" t="s">
        <v>357</v>
      </c>
      <c r="R42" s="168" t="s">
        <v>358</v>
      </c>
      <c r="S42" s="169" t="s">
        <v>79</v>
      </c>
      <c r="T42" s="167" t="s">
        <v>661</v>
      </c>
      <c r="U42" s="168" t="s">
        <v>64</v>
      </c>
      <c r="V42" s="169" t="s">
        <v>79</v>
      </c>
      <c r="W42" s="167" t="s">
        <v>688</v>
      </c>
      <c r="X42" s="168" t="s">
        <v>689</v>
      </c>
      <c r="Y42" s="169" t="s">
        <v>79</v>
      </c>
    </row>
    <row r="43" spans="1:31" x14ac:dyDescent="0.25">
      <c r="A43" s="164" t="s">
        <v>16</v>
      </c>
      <c r="B43" s="167" t="s">
        <v>575</v>
      </c>
      <c r="C43" s="168" t="s">
        <v>418</v>
      </c>
      <c r="D43" s="169" t="s">
        <v>79</v>
      </c>
      <c r="E43" s="167" t="s">
        <v>601</v>
      </c>
      <c r="F43" s="168" t="s">
        <v>426</v>
      </c>
      <c r="G43" s="169" t="s">
        <v>79</v>
      </c>
      <c r="H43" s="167" t="s">
        <v>622</v>
      </c>
      <c r="I43" s="168" t="s">
        <v>623</v>
      </c>
      <c r="J43" s="169" t="s">
        <v>79</v>
      </c>
      <c r="K43" s="167" t="s">
        <v>641</v>
      </c>
      <c r="L43" s="168" t="s">
        <v>642</v>
      </c>
      <c r="M43" s="169" t="s">
        <v>79</v>
      </c>
      <c r="N43" s="167" t="s">
        <v>386</v>
      </c>
      <c r="O43" s="168" t="s">
        <v>354</v>
      </c>
      <c r="P43" s="169" t="s">
        <v>79</v>
      </c>
      <c r="Q43" s="167" t="s">
        <v>361</v>
      </c>
      <c r="R43" s="168" t="s">
        <v>362</v>
      </c>
      <c r="S43" s="169" t="s">
        <v>79</v>
      </c>
      <c r="T43" s="167" t="s">
        <v>662</v>
      </c>
      <c r="U43" s="168" t="s">
        <v>663</v>
      </c>
      <c r="V43" s="169" t="s">
        <v>79</v>
      </c>
      <c r="W43" s="167" t="s">
        <v>690</v>
      </c>
      <c r="X43" s="168" t="s">
        <v>691</v>
      </c>
      <c r="Y43" s="169" t="s">
        <v>79</v>
      </c>
    </row>
    <row r="44" spans="1:31" x14ac:dyDescent="0.25">
      <c r="A44" s="164" t="s">
        <v>17</v>
      </c>
      <c r="B44" s="167" t="s">
        <v>576</v>
      </c>
      <c r="C44" s="168" t="s">
        <v>577</v>
      </c>
      <c r="D44" s="169" t="s">
        <v>79</v>
      </c>
      <c r="E44" s="167" t="s">
        <v>602</v>
      </c>
      <c r="F44" s="168" t="s">
        <v>603</v>
      </c>
      <c r="G44" s="169" t="s">
        <v>79</v>
      </c>
      <c r="H44" s="167" t="s">
        <v>620</v>
      </c>
      <c r="I44" s="168" t="s">
        <v>25</v>
      </c>
      <c r="J44" s="169" t="s">
        <v>79</v>
      </c>
      <c r="K44" s="167" t="s">
        <v>643</v>
      </c>
      <c r="L44" s="168" t="s">
        <v>415</v>
      </c>
      <c r="M44" s="169" t="s">
        <v>79</v>
      </c>
      <c r="N44" s="167" t="s">
        <v>387</v>
      </c>
      <c r="O44" s="168" t="s">
        <v>388</v>
      </c>
      <c r="P44" s="169" t="s">
        <v>79</v>
      </c>
      <c r="Q44" s="167" t="s">
        <v>359</v>
      </c>
      <c r="R44" s="168" t="s">
        <v>360</v>
      </c>
      <c r="S44" s="169" t="s">
        <v>79</v>
      </c>
      <c r="T44" s="167" t="s">
        <v>664</v>
      </c>
      <c r="U44" s="168" t="s">
        <v>665</v>
      </c>
      <c r="V44" s="169" t="s">
        <v>79</v>
      </c>
      <c r="W44" s="167" t="s">
        <v>692</v>
      </c>
      <c r="X44" s="168" t="s">
        <v>693</v>
      </c>
      <c r="Y44" s="169" t="s">
        <v>79</v>
      </c>
    </row>
    <row r="45" spans="1:31" x14ac:dyDescent="0.25">
      <c r="A45" s="164" t="s">
        <v>18</v>
      </c>
      <c r="B45" s="167" t="s">
        <v>578</v>
      </c>
      <c r="C45" s="168" t="s">
        <v>364</v>
      </c>
      <c r="D45" s="169" t="s">
        <v>79</v>
      </c>
      <c r="E45" s="167" t="s">
        <v>604</v>
      </c>
      <c r="F45" s="168" t="s">
        <v>605</v>
      </c>
      <c r="G45" s="169" t="s">
        <v>79</v>
      </c>
      <c r="H45" s="167" t="s">
        <v>621</v>
      </c>
      <c r="I45" s="168" t="s">
        <v>70</v>
      </c>
      <c r="J45" s="169" t="s">
        <v>79</v>
      </c>
      <c r="K45" s="167" t="s">
        <v>644</v>
      </c>
      <c r="L45" s="168" t="s">
        <v>443</v>
      </c>
      <c r="M45" s="169" t="s">
        <v>79</v>
      </c>
      <c r="N45" s="167" t="s">
        <v>389</v>
      </c>
      <c r="O45" s="168" t="s">
        <v>390</v>
      </c>
      <c r="P45" s="169" t="s">
        <v>79</v>
      </c>
      <c r="Q45" s="167" t="s">
        <v>363</v>
      </c>
      <c r="R45" s="168" t="s">
        <v>364</v>
      </c>
      <c r="S45" s="169" t="s">
        <v>79</v>
      </c>
      <c r="T45" s="167" t="s">
        <v>666</v>
      </c>
      <c r="U45" s="168" t="s">
        <v>418</v>
      </c>
      <c r="V45" s="169" t="s">
        <v>79</v>
      </c>
      <c r="W45" s="167" t="s">
        <v>690</v>
      </c>
      <c r="X45" s="168" t="s">
        <v>527</v>
      </c>
      <c r="Y45" s="169" t="s">
        <v>79</v>
      </c>
    </row>
    <row r="46" spans="1:31" x14ac:dyDescent="0.25">
      <c r="A46" s="164" t="s">
        <v>19</v>
      </c>
      <c r="B46" s="167" t="s">
        <v>579</v>
      </c>
      <c r="C46" s="168" t="s">
        <v>362</v>
      </c>
      <c r="D46" s="169" t="s">
        <v>79</v>
      </c>
      <c r="E46" s="167" t="s">
        <v>586</v>
      </c>
      <c r="F46" s="168" t="s">
        <v>469</v>
      </c>
      <c r="G46" s="170"/>
      <c r="H46" s="167" t="s">
        <v>624</v>
      </c>
      <c r="I46" s="168" t="s">
        <v>371</v>
      </c>
      <c r="J46" s="170"/>
      <c r="K46" s="167" t="s">
        <v>645</v>
      </c>
      <c r="L46" s="168" t="s">
        <v>415</v>
      </c>
      <c r="M46" s="170"/>
      <c r="N46" s="167" t="s">
        <v>385</v>
      </c>
      <c r="O46" s="168" t="s">
        <v>391</v>
      </c>
      <c r="P46" s="170"/>
      <c r="Q46" s="167" t="s">
        <v>365</v>
      </c>
      <c r="R46" s="168" t="s">
        <v>358</v>
      </c>
      <c r="S46" s="170"/>
      <c r="T46" s="167" t="s">
        <v>667</v>
      </c>
      <c r="U46" s="168" t="s">
        <v>473</v>
      </c>
      <c r="V46" s="170"/>
      <c r="W46" s="167" t="s">
        <v>669</v>
      </c>
      <c r="X46" s="168" t="s">
        <v>371</v>
      </c>
      <c r="Y46" s="170"/>
    </row>
    <row r="47" spans="1:31" x14ac:dyDescent="0.25">
      <c r="A47" s="164" t="s">
        <v>20</v>
      </c>
      <c r="B47" s="167" t="s">
        <v>580</v>
      </c>
      <c r="C47" s="168" t="s">
        <v>581</v>
      </c>
      <c r="D47" s="169"/>
      <c r="E47" s="167" t="s">
        <v>606</v>
      </c>
      <c r="F47" s="168" t="s">
        <v>607</v>
      </c>
      <c r="G47" s="170"/>
      <c r="H47" s="167" t="s">
        <v>625</v>
      </c>
      <c r="I47" s="168" t="s">
        <v>626</v>
      </c>
      <c r="J47" s="170"/>
      <c r="K47" s="167" t="s">
        <v>645</v>
      </c>
      <c r="L47" s="168" t="s">
        <v>364</v>
      </c>
      <c r="M47" s="170"/>
      <c r="N47" s="167" t="s">
        <v>392</v>
      </c>
      <c r="O47" s="168" t="s">
        <v>70</v>
      </c>
      <c r="P47" s="170"/>
      <c r="Q47" s="167" t="s">
        <v>366</v>
      </c>
      <c r="R47" s="168" t="s">
        <v>367</v>
      </c>
      <c r="S47" s="170"/>
      <c r="T47" s="167" t="s">
        <v>668</v>
      </c>
      <c r="U47" s="168" t="s">
        <v>25</v>
      </c>
      <c r="V47" s="170"/>
      <c r="W47" s="167" t="s">
        <v>692</v>
      </c>
      <c r="X47" s="168" t="s">
        <v>369</v>
      </c>
      <c r="Y47" s="170"/>
    </row>
    <row r="48" spans="1:31" x14ac:dyDescent="0.25">
      <c r="A48" s="164" t="s">
        <v>21</v>
      </c>
      <c r="B48" s="167" t="s">
        <v>582</v>
      </c>
      <c r="C48" s="168" t="s">
        <v>66</v>
      </c>
      <c r="D48" s="169"/>
      <c r="E48" s="167" t="s">
        <v>608</v>
      </c>
      <c r="F48" s="168" t="s">
        <v>609</v>
      </c>
      <c r="G48" s="170"/>
      <c r="H48" s="167" t="s">
        <v>627</v>
      </c>
      <c r="I48" s="168" t="s">
        <v>68</v>
      </c>
      <c r="J48" s="170"/>
      <c r="K48" s="167" t="s">
        <v>646</v>
      </c>
      <c r="L48" s="168" t="s">
        <v>552</v>
      </c>
      <c r="M48" s="170"/>
      <c r="N48" s="167" t="s">
        <v>393</v>
      </c>
      <c r="O48" s="168" t="s">
        <v>394</v>
      </c>
      <c r="P48" s="170"/>
      <c r="Q48" s="167" t="s">
        <v>368</v>
      </c>
      <c r="R48" s="168" t="s">
        <v>369</v>
      </c>
      <c r="S48" s="170"/>
      <c r="T48" s="167" t="s">
        <v>669</v>
      </c>
      <c r="U48" s="168" t="s">
        <v>420</v>
      </c>
      <c r="V48" s="170"/>
      <c r="W48" s="167" t="s">
        <v>694</v>
      </c>
      <c r="X48" s="168" t="s">
        <v>426</v>
      </c>
      <c r="Y48" s="170"/>
    </row>
    <row r="49" spans="1:25" x14ac:dyDescent="0.25">
      <c r="A49" s="164" t="s">
        <v>22</v>
      </c>
      <c r="B49" s="167" t="s">
        <v>583</v>
      </c>
      <c r="C49" s="168" t="s">
        <v>68</v>
      </c>
      <c r="D49" s="169"/>
      <c r="E49" s="167" t="s">
        <v>610</v>
      </c>
      <c r="F49" s="168" t="s">
        <v>611</v>
      </c>
      <c r="G49" s="170"/>
      <c r="H49" s="167" t="s">
        <v>628</v>
      </c>
      <c r="I49" s="168" t="s">
        <v>415</v>
      </c>
      <c r="J49" s="170"/>
      <c r="K49" s="167" t="s">
        <v>647</v>
      </c>
      <c r="L49" s="168" t="s">
        <v>648</v>
      </c>
      <c r="M49" s="170"/>
      <c r="N49" s="167" t="s">
        <v>395</v>
      </c>
      <c r="O49" s="168" t="s">
        <v>74</v>
      </c>
      <c r="P49" s="170"/>
      <c r="Q49" s="167" t="s">
        <v>370</v>
      </c>
      <c r="R49" s="168" t="s">
        <v>371</v>
      </c>
      <c r="S49" s="170"/>
      <c r="T49" s="167" t="s">
        <v>670</v>
      </c>
      <c r="U49" s="168" t="s">
        <v>671</v>
      </c>
      <c r="V49" s="170"/>
      <c r="W49" s="167" t="s">
        <v>695</v>
      </c>
      <c r="X49" s="168" t="s">
        <v>111</v>
      </c>
      <c r="Y49" s="170"/>
    </row>
    <row r="50" spans="1:25" x14ac:dyDescent="0.25">
      <c r="A50" s="164" t="s">
        <v>37</v>
      </c>
      <c r="B50" s="167" t="s">
        <v>584</v>
      </c>
      <c r="C50" s="168" t="s">
        <v>585</v>
      </c>
      <c r="D50" s="169" t="s">
        <v>79</v>
      </c>
      <c r="E50" s="167" t="s">
        <v>612</v>
      </c>
      <c r="F50" s="168" t="s">
        <v>397</v>
      </c>
      <c r="G50" s="169" t="s">
        <v>79</v>
      </c>
      <c r="H50" s="167" t="s">
        <v>629</v>
      </c>
      <c r="I50" s="168" t="s">
        <v>484</v>
      </c>
      <c r="J50" s="169" t="s">
        <v>79</v>
      </c>
      <c r="K50" s="167" t="s">
        <v>649</v>
      </c>
      <c r="L50" s="168" t="s">
        <v>650</v>
      </c>
      <c r="M50" s="169" t="s">
        <v>79</v>
      </c>
      <c r="N50" s="167" t="s">
        <v>396</v>
      </c>
      <c r="O50" s="168" t="s">
        <v>397</v>
      </c>
      <c r="P50" s="169" t="s">
        <v>79</v>
      </c>
      <c r="Q50" s="167" t="s">
        <v>363</v>
      </c>
      <c r="R50" s="168" t="s">
        <v>91</v>
      </c>
      <c r="S50" s="169" t="s">
        <v>79</v>
      </c>
      <c r="T50" s="167" t="s">
        <v>672</v>
      </c>
      <c r="U50" s="168" t="s">
        <v>81</v>
      </c>
      <c r="V50" s="169" t="s">
        <v>79</v>
      </c>
      <c r="W50" s="167" t="s">
        <v>696</v>
      </c>
      <c r="X50" s="168" t="s">
        <v>697</v>
      </c>
      <c r="Y50" s="169" t="s">
        <v>79</v>
      </c>
    </row>
    <row r="51" spans="1:25" x14ac:dyDescent="0.25">
      <c r="A51" s="164" t="s">
        <v>39</v>
      </c>
      <c r="B51" s="167" t="s">
        <v>586</v>
      </c>
      <c r="C51" s="168" t="s">
        <v>91</v>
      </c>
      <c r="D51" s="169" t="s">
        <v>79</v>
      </c>
      <c r="E51" s="167" t="s">
        <v>613</v>
      </c>
      <c r="F51" s="168" t="s">
        <v>614</v>
      </c>
      <c r="G51" s="169" t="s">
        <v>79</v>
      </c>
      <c r="H51" s="167" t="s">
        <v>630</v>
      </c>
      <c r="I51" s="168" t="s">
        <v>631</v>
      </c>
      <c r="J51" s="169" t="s">
        <v>79</v>
      </c>
      <c r="K51" s="167" t="s">
        <v>651</v>
      </c>
      <c r="L51" s="168" t="s">
        <v>401</v>
      </c>
      <c r="M51" s="169" t="s">
        <v>79</v>
      </c>
      <c r="N51" s="167" t="s">
        <v>398</v>
      </c>
      <c r="O51" s="168" t="s">
        <v>399</v>
      </c>
      <c r="P51" s="169" t="s">
        <v>79</v>
      </c>
      <c r="Q51" s="167" t="s">
        <v>372</v>
      </c>
      <c r="R51" s="168" t="s">
        <v>373</v>
      </c>
      <c r="S51" s="169" t="s">
        <v>79</v>
      </c>
      <c r="T51" s="167" t="s">
        <v>673</v>
      </c>
      <c r="U51" s="168" t="s">
        <v>674</v>
      </c>
      <c r="V51" s="169" t="s">
        <v>79</v>
      </c>
      <c r="W51" s="167" t="s">
        <v>698</v>
      </c>
      <c r="X51" s="168" t="s">
        <v>699</v>
      </c>
      <c r="Y51" s="169" t="s">
        <v>79</v>
      </c>
    </row>
    <row r="52" spans="1:25" x14ac:dyDescent="0.25">
      <c r="A52" s="164" t="s">
        <v>40</v>
      </c>
      <c r="B52" s="167" t="s">
        <v>587</v>
      </c>
      <c r="C52" s="168" t="s">
        <v>588</v>
      </c>
      <c r="D52" s="169"/>
      <c r="E52" s="167" t="s">
        <v>615</v>
      </c>
      <c r="F52" s="168" t="s">
        <v>616</v>
      </c>
      <c r="G52" s="170"/>
      <c r="H52" s="167" t="s">
        <v>632</v>
      </c>
      <c r="I52" s="168" t="s">
        <v>633</v>
      </c>
      <c r="J52" s="170"/>
      <c r="K52" s="167" t="s">
        <v>580</v>
      </c>
      <c r="L52" s="168" t="s">
        <v>652</v>
      </c>
      <c r="M52" s="170"/>
      <c r="N52" s="167" t="s">
        <v>400</v>
      </c>
      <c r="O52" s="168" t="s">
        <v>401</v>
      </c>
      <c r="P52" s="170"/>
      <c r="Q52" s="167" t="s">
        <v>374</v>
      </c>
      <c r="R52" s="168" t="s">
        <v>375</v>
      </c>
      <c r="S52" s="170"/>
      <c r="T52" s="167" t="s">
        <v>675</v>
      </c>
      <c r="U52" s="168" t="s">
        <v>676</v>
      </c>
      <c r="V52" s="170"/>
      <c r="W52" s="167" t="s">
        <v>700</v>
      </c>
      <c r="X52" s="168" t="s">
        <v>701</v>
      </c>
      <c r="Y52" s="170"/>
    </row>
    <row r="53" spans="1:25" x14ac:dyDescent="0.25">
      <c r="A53" s="164" t="s">
        <v>41</v>
      </c>
      <c r="B53" s="167" t="s">
        <v>589</v>
      </c>
      <c r="C53" s="168" t="s">
        <v>590</v>
      </c>
      <c r="D53" s="169"/>
      <c r="E53" s="167" t="s">
        <v>764</v>
      </c>
      <c r="F53" s="168" t="s">
        <v>410</v>
      </c>
      <c r="G53" s="170"/>
      <c r="H53" s="167" t="s">
        <v>634</v>
      </c>
      <c r="I53" s="168" t="s">
        <v>588</v>
      </c>
      <c r="J53" s="170"/>
      <c r="K53" s="167" t="s">
        <v>653</v>
      </c>
      <c r="L53" s="168" t="s">
        <v>91</v>
      </c>
      <c r="M53" s="170"/>
      <c r="N53" s="167" t="s">
        <v>402</v>
      </c>
      <c r="O53" s="168" t="s">
        <v>375</v>
      </c>
      <c r="P53" s="170"/>
      <c r="Q53" s="167" t="s">
        <v>376</v>
      </c>
      <c r="R53" s="168" t="s">
        <v>375</v>
      </c>
      <c r="S53" s="170"/>
      <c r="T53" s="167" t="s">
        <v>677</v>
      </c>
      <c r="U53" s="168" t="s">
        <v>678</v>
      </c>
      <c r="V53" s="170"/>
      <c r="W53" s="167" t="s">
        <v>702</v>
      </c>
      <c r="X53" s="168" t="s">
        <v>703</v>
      </c>
      <c r="Y53" s="170"/>
    </row>
    <row r="54" spans="1:25" x14ac:dyDescent="0.25">
      <c r="A54" s="164" t="s">
        <v>42</v>
      </c>
      <c r="B54" s="167" t="s">
        <v>591</v>
      </c>
      <c r="C54" s="168" t="s">
        <v>375</v>
      </c>
      <c r="D54" s="169"/>
      <c r="E54" s="167" t="s">
        <v>765</v>
      </c>
      <c r="F54" s="168" t="s">
        <v>766</v>
      </c>
      <c r="G54" s="170"/>
      <c r="H54" s="167" t="s">
        <v>635</v>
      </c>
      <c r="I54" s="168" t="s">
        <v>397</v>
      </c>
      <c r="J54" s="170"/>
      <c r="K54" s="167" t="s">
        <v>772</v>
      </c>
      <c r="L54" s="168" t="s">
        <v>773</v>
      </c>
      <c r="M54" s="170"/>
      <c r="N54" s="167" t="s">
        <v>403</v>
      </c>
      <c r="O54" s="168" t="s">
        <v>404</v>
      </c>
      <c r="P54" s="170"/>
      <c r="Q54" s="167" t="s">
        <v>377</v>
      </c>
      <c r="R54" s="168" t="s">
        <v>375</v>
      </c>
      <c r="S54" s="170"/>
      <c r="T54" s="167" t="s">
        <v>679</v>
      </c>
      <c r="U54" s="168" t="s">
        <v>680</v>
      </c>
      <c r="V54" s="170"/>
      <c r="W54" s="167" t="s">
        <v>704</v>
      </c>
      <c r="X54" s="168" t="s">
        <v>705</v>
      </c>
      <c r="Y54" s="170"/>
    </row>
    <row r="55" spans="1:25" x14ac:dyDescent="0.25">
      <c r="A55" s="164" t="s">
        <v>43</v>
      </c>
      <c r="B55" s="167" t="s">
        <v>592</v>
      </c>
      <c r="C55" s="168" t="s">
        <v>593</v>
      </c>
      <c r="D55" s="169"/>
      <c r="E55" s="167" t="s">
        <v>767</v>
      </c>
      <c r="F55" s="168" t="s">
        <v>768</v>
      </c>
      <c r="G55" s="170"/>
      <c r="H55" s="167" t="s">
        <v>636</v>
      </c>
      <c r="I55" s="168" t="s">
        <v>375</v>
      </c>
      <c r="J55" s="170"/>
      <c r="K55" s="167" t="s">
        <v>654</v>
      </c>
      <c r="L55" s="168" t="s">
        <v>655</v>
      </c>
      <c r="M55" s="170"/>
      <c r="N55" s="167" t="s">
        <v>405</v>
      </c>
      <c r="O55" s="168" t="s">
        <v>406</v>
      </c>
      <c r="P55" s="170"/>
      <c r="Q55" s="167" t="s">
        <v>94</v>
      </c>
      <c r="R55" s="168" t="s">
        <v>91</v>
      </c>
      <c r="S55" s="170"/>
      <c r="T55" s="167" t="s">
        <v>681</v>
      </c>
      <c r="U55" s="168" t="s">
        <v>682</v>
      </c>
      <c r="V55" s="170"/>
      <c r="W55" s="167" t="s">
        <v>706</v>
      </c>
      <c r="X55" s="168" t="s">
        <v>707</v>
      </c>
      <c r="Y55" s="170"/>
    </row>
    <row r="56" spans="1:25" x14ac:dyDescent="0.25">
      <c r="A56" s="164" t="s">
        <v>44</v>
      </c>
      <c r="B56" s="167" t="s">
        <v>594</v>
      </c>
      <c r="C56" s="168" t="s">
        <v>595</v>
      </c>
      <c r="D56" s="169"/>
      <c r="E56" s="167" t="s">
        <v>769</v>
      </c>
      <c r="F56" s="168" t="s">
        <v>770</v>
      </c>
      <c r="G56" s="170"/>
      <c r="H56" s="167" t="s">
        <v>637</v>
      </c>
      <c r="I56" s="168" t="s">
        <v>559</v>
      </c>
      <c r="J56" s="170"/>
      <c r="K56" s="167" t="s">
        <v>656</v>
      </c>
      <c r="L56" s="168" t="s">
        <v>657</v>
      </c>
      <c r="M56" s="170"/>
      <c r="N56" s="167" t="s">
        <v>407</v>
      </c>
      <c r="O56" s="168" t="s">
        <v>408</v>
      </c>
      <c r="P56" s="170"/>
      <c r="Q56" s="167" t="s">
        <v>378</v>
      </c>
      <c r="R56" s="168" t="s">
        <v>379</v>
      </c>
      <c r="S56" s="170"/>
      <c r="T56" s="167" t="s">
        <v>683</v>
      </c>
      <c r="U56" s="168" t="s">
        <v>684</v>
      </c>
      <c r="V56" s="170"/>
      <c r="W56" s="167" t="s">
        <v>774</v>
      </c>
      <c r="X56" s="168" t="s">
        <v>775</v>
      </c>
      <c r="Y56" s="170"/>
    </row>
    <row r="57" spans="1:25" ht="15.75" thickBot="1" x14ac:dyDescent="0.3">
      <c r="A57" s="165" t="s">
        <v>46</v>
      </c>
      <c r="B57" s="172" t="s">
        <v>596</v>
      </c>
      <c r="C57" s="173" t="s">
        <v>597</v>
      </c>
      <c r="D57" s="174"/>
      <c r="E57" s="172" t="s">
        <v>771</v>
      </c>
      <c r="F57" s="173" t="s">
        <v>375</v>
      </c>
      <c r="G57" s="175"/>
      <c r="H57" s="172" t="s">
        <v>638</v>
      </c>
      <c r="I57" s="173" t="s">
        <v>515</v>
      </c>
      <c r="J57" s="175"/>
      <c r="K57" s="172" t="s">
        <v>658</v>
      </c>
      <c r="L57" s="173" t="s">
        <v>659</v>
      </c>
      <c r="M57" s="175"/>
      <c r="N57" s="172" t="s">
        <v>409</v>
      </c>
      <c r="O57" s="173" t="s">
        <v>410</v>
      </c>
      <c r="P57" s="175"/>
      <c r="Q57" s="172" t="s">
        <v>380</v>
      </c>
      <c r="R57" s="173" t="s">
        <v>381</v>
      </c>
      <c r="S57" s="175"/>
      <c r="T57" s="172" t="s">
        <v>685</v>
      </c>
      <c r="U57" s="173" t="s">
        <v>686</v>
      </c>
      <c r="V57" s="175"/>
      <c r="W57" s="172" t="s">
        <v>776</v>
      </c>
      <c r="X57" s="173" t="s">
        <v>777</v>
      </c>
      <c r="Y57" s="175"/>
    </row>
    <row r="58" spans="1:25" ht="15.75" thickBot="1" x14ac:dyDescent="0.3">
      <c r="A58" s="166" t="s">
        <v>723</v>
      </c>
      <c r="B58" s="176" t="s">
        <v>708</v>
      </c>
      <c r="C58" s="177"/>
      <c r="D58" s="178"/>
      <c r="E58" s="176" t="s">
        <v>710</v>
      </c>
      <c r="F58" s="177"/>
      <c r="G58" s="178"/>
      <c r="H58" s="176" t="s">
        <v>712</v>
      </c>
      <c r="I58" s="177"/>
      <c r="J58" s="178"/>
      <c r="K58" s="176" t="s">
        <v>714</v>
      </c>
      <c r="L58" s="177"/>
      <c r="M58" s="178"/>
      <c r="N58" s="176" t="s">
        <v>411</v>
      </c>
      <c r="O58" s="177"/>
      <c r="P58" s="178"/>
      <c r="Q58" s="176" t="s">
        <v>382</v>
      </c>
      <c r="R58" s="177"/>
      <c r="S58" s="178"/>
      <c r="T58" s="176" t="s">
        <v>716</v>
      </c>
      <c r="U58" s="177"/>
      <c r="V58" s="178"/>
      <c r="W58" s="176" t="s">
        <v>717</v>
      </c>
      <c r="X58" s="177"/>
      <c r="Y58" s="178"/>
    </row>
    <row r="59" spans="1:25" ht="15.75" thickBot="1" x14ac:dyDescent="0.3">
      <c r="A59" s="166" t="s">
        <v>323</v>
      </c>
      <c r="B59" s="176" t="s">
        <v>709</v>
      </c>
      <c r="C59" s="177"/>
      <c r="D59" s="178"/>
      <c r="E59" s="176" t="s">
        <v>711</v>
      </c>
      <c r="F59" s="177"/>
      <c r="G59" s="178"/>
      <c r="H59" s="176" t="s">
        <v>713</v>
      </c>
      <c r="I59" s="177"/>
      <c r="J59" s="178"/>
      <c r="K59" s="176" t="s">
        <v>715</v>
      </c>
      <c r="L59" s="177"/>
      <c r="M59" s="178"/>
      <c r="N59" s="176" t="s">
        <v>412</v>
      </c>
      <c r="O59" s="177"/>
      <c r="P59" s="178"/>
      <c r="Q59" s="176" t="s">
        <v>571</v>
      </c>
      <c r="R59" s="177"/>
      <c r="S59" s="178"/>
      <c r="T59" s="176" t="s">
        <v>383</v>
      </c>
      <c r="U59" s="177"/>
      <c r="V59" s="178"/>
      <c r="W59" s="176" t="s">
        <v>718</v>
      </c>
      <c r="X59" s="177"/>
      <c r="Y59" s="178"/>
    </row>
  </sheetData>
  <sheetProtection sheet="1" objects="1" scenarios="1"/>
  <mergeCells count="65">
    <mergeCell ref="AU21:AW21"/>
    <mergeCell ref="AX21:AX22"/>
    <mergeCell ref="AC21:AE21"/>
    <mergeCell ref="AF21:AH21"/>
    <mergeCell ref="AI21:AK21"/>
    <mergeCell ref="AL21:AN21"/>
    <mergeCell ref="AO21:AQ21"/>
    <mergeCell ref="AR21:AT21"/>
    <mergeCell ref="Z21:AB21"/>
    <mergeCell ref="B21:D21"/>
    <mergeCell ref="E21:G21"/>
    <mergeCell ref="H21:J21"/>
    <mergeCell ref="K21:M21"/>
    <mergeCell ref="N21:P21"/>
    <mergeCell ref="Q21:S21"/>
    <mergeCell ref="T21:V21"/>
    <mergeCell ref="W21:Y21"/>
    <mergeCell ref="B1:D1"/>
    <mergeCell ref="E1:G1"/>
    <mergeCell ref="H1:J1"/>
    <mergeCell ref="K1:M1"/>
    <mergeCell ref="N1:P1"/>
    <mergeCell ref="Q1:S1"/>
    <mergeCell ref="T1:V1"/>
    <mergeCell ref="W1:Y1"/>
    <mergeCell ref="B41:D41"/>
    <mergeCell ref="E41:G41"/>
    <mergeCell ref="H41:J41"/>
    <mergeCell ref="K41:M41"/>
    <mergeCell ref="N41:P41"/>
    <mergeCell ref="Q41:S41"/>
    <mergeCell ref="T41:V41"/>
    <mergeCell ref="W41:Y41"/>
    <mergeCell ref="B18:D18"/>
    <mergeCell ref="B19:D19"/>
    <mergeCell ref="E18:G18"/>
    <mergeCell ref="E19:G19"/>
    <mergeCell ref="H19:J19"/>
    <mergeCell ref="H18:J18"/>
    <mergeCell ref="K19:M19"/>
    <mergeCell ref="K18:M18"/>
    <mergeCell ref="N18:P18"/>
    <mergeCell ref="N19:P19"/>
    <mergeCell ref="Q18:S18"/>
    <mergeCell ref="Q19:S19"/>
    <mergeCell ref="T19:V19"/>
    <mergeCell ref="T18:V18"/>
    <mergeCell ref="W18:Y18"/>
    <mergeCell ref="W19:Y19"/>
    <mergeCell ref="Q58:S58"/>
    <mergeCell ref="T58:V58"/>
    <mergeCell ref="W58:Y58"/>
    <mergeCell ref="B59:D59"/>
    <mergeCell ref="E59:G59"/>
    <mergeCell ref="H59:J59"/>
    <mergeCell ref="K59:M59"/>
    <mergeCell ref="N59:P59"/>
    <mergeCell ref="Q59:S59"/>
    <mergeCell ref="T59:V59"/>
    <mergeCell ref="W59:Y59"/>
    <mergeCell ref="B58:D58"/>
    <mergeCell ref="E58:G58"/>
    <mergeCell ref="H58:J58"/>
    <mergeCell ref="K58:M58"/>
    <mergeCell ref="N58:P58"/>
  </mergeCells>
  <pageMargins left="0.7" right="0.7" top="0.78740157499999996" bottom="0.78740157499999996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Grundeinstellungen!$O$1:$O$3</xm:f>
          </x14:formula1>
          <xm:sqref>A20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3"/>
  <dimension ref="A1:W38"/>
  <sheetViews>
    <sheetView tabSelected="1" workbookViewId="0">
      <selection activeCell="K5" sqref="K5:M6"/>
    </sheetView>
  </sheetViews>
  <sheetFormatPr baseColWidth="10" defaultColWidth="9.140625" defaultRowHeight="15" x14ac:dyDescent="0.25"/>
  <cols>
    <col min="15" max="16" width="9.140625" hidden="1" customWidth="1"/>
    <col min="17" max="17" width="29.5703125" bestFit="1" customWidth="1"/>
    <col min="19" max="19" width="9.140625" style="1" hidden="1" customWidth="1"/>
    <col min="20" max="20" width="9.140625" hidden="1" customWidth="1"/>
  </cols>
  <sheetData>
    <row r="1" spans="1:23" x14ac:dyDescent="0.25">
      <c r="A1" s="3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Q1" s="3"/>
      <c r="R1" s="3"/>
      <c r="S1" s="8"/>
      <c r="T1" s="3"/>
      <c r="U1" s="3"/>
      <c r="V1" s="3"/>
      <c r="W1" s="3"/>
    </row>
    <row r="2" spans="1:23" x14ac:dyDescent="0.25">
      <c r="A2" s="3"/>
      <c r="B2" s="203" t="s">
        <v>10</v>
      </c>
      <c r="C2" s="203"/>
      <c r="D2" s="203"/>
      <c r="E2" s="203"/>
      <c r="F2" s="203"/>
      <c r="G2" s="203"/>
      <c r="H2" s="203"/>
      <c r="I2" s="203"/>
      <c r="J2" s="203"/>
      <c r="K2" s="3"/>
      <c r="L2" s="3"/>
      <c r="M2" s="3"/>
      <c r="N2" s="3"/>
      <c r="O2" t="s">
        <v>11</v>
      </c>
      <c r="Q2" s="3"/>
      <c r="R2" s="3"/>
      <c r="S2" s="8"/>
      <c r="T2" s="3"/>
      <c r="U2" s="3"/>
      <c r="V2" s="3"/>
      <c r="W2" s="3"/>
    </row>
    <row r="3" spans="1:23" x14ac:dyDescent="0.25">
      <c r="A3" s="3"/>
      <c r="B3" s="203"/>
      <c r="C3" s="203"/>
      <c r="D3" s="203"/>
      <c r="E3" s="203"/>
      <c r="F3" s="203"/>
      <c r="G3" s="203"/>
      <c r="H3" s="203"/>
      <c r="I3" s="203"/>
      <c r="J3" s="203"/>
      <c r="K3" s="3"/>
      <c r="L3" s="3"/>
      <c r="M3" s="3"/>
      <c r="N3" s="3"/>
      <c r="O3" t="s">
        <v>2</v>
      </c>
      <c r="Q3" s="3"/>
      <c r="R3" s="3"/>
      <c r="S3" s="8"/>
      <c r="T3" s="3"/>
      <c r="U3" s="3"/>
      <c r="V3" s="3"/>
      <c r="W3" s="3"/>
    </row>
    <row r="4" spans="1:23" x14ac:dyDescent="0.25">
      <c r="A4" s="3"/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Q4" s="3"/>
      <c r="R4" s="3"/>
      <c r="S4" s="8"/>
      <c r="T4" s="3"/>
      <c r="U4" s="3"/>
      <c r="V4" s="3"/>
      <c r="W4" s="3"/>
    </row>
    <row r="5" spans="1:23" x14ac:dyDescent="0.25">
      <c r="A5" s="3"/>
      <c r="B5" s="190" t="s">
        <v>0</v>
      </c>
      <c r="C5" s="190"/>
      <c r="D5" s="215">
        <f ca="1">TODAY()</f>
        <v>42418</v>
      </c>
      <c r="E5" s="216"/>
      <c r="F5" s="3"/>
      <c r="G5" s="190" t="s">
        <v>1</v>
      </c>
      <c r="H5" s="190"/>
      <c r="I5" s="190"/>
      <c r="J5" s="190"/>
      <c r="K5" s="192"/>
      <c r="L5" s="192"/>
      <c r="M5" s="192"/>
      <c r="N5" s="3"/>
      <c r="O5">
        <f>IF(K5&gt;0,1,0)</f>
        <v>0</v>
      </c>
      <c r="P5">
        <v>1</v>
      </c>
      <c r="Q5" s="182" t="s">
        <v>203</v>
      </c>
      <c r="R5" s="182"/>
      <c r="S5" s="8"/>
      <c r="U5" s="3"/>
      <c r="V5" s="3"/>
      <c r="W5" s="3"/>
    </row>
    <row r="6" spans="1:23" x14ac:dyDescent="0.25">
      <c r="A6" s="3"/>
      <c r="B6" s="190"/>
      <c r="C6" s="190"/>
      <c r="D6" s="216"/>
      <c r="E6" s="216"/>
      <c r="F6" s="3"/>
      <c r="G6" s="190"/>
      <c r="H6" s="190"/>
      <c r="I6" s="190"/>
      <c r="J6" s="190"/>
      <c r="K6" s="192"/>
      <c r="L6" s="192"/>
      <c r="M6" s="192"/>
      <c r="N6" s="3"/>
      <c r="Q6" s="17" t="s">
        <v>204</v>
      </c>
      <c r="R6" s="66" t="str">
        <f>IF(S6=10,"erledigt","")</f>
        <v/>
      </c>
      <c r="S6" s="1">
        <f>O27</f>
        <v>0</v>
      </c>
      <c r="T6" s="1">
        <v>10</v>
      </c>
      <c r="U6" s="3"/>
      <c r="V6" s="3"/>
      <c r="W6" s="3"/>
    </row>
    <row r="7" spans="1:23" x14ac:dyDescent="0.25">
      <c r="A7" s="3"/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Q7" s="17" t="s">
        <v>205</v>
      </c>
      <c r="R7" s="66" t="str">
        <f t="shared" ref="R7:R11" si="0">IF(S7=10,"erledigt","")</f>
        <v/>
      </c>
      <c r="S7" s="1">
        <f>Fahrplan!AJ56</f>
        <v>0</v>
      </c>
      <c r="T7" s="1">
        <v>10</v>
      </c>
      <c r="U7" s="3"/>
      <c r="V7" s="3"/>
      <c r="W7" s="3"/>
    </row>
    <row r="8" spans="1:23" ht="15" customHeight="1" x14ac:dyDescent="0.25">
      <c r="A8" s="3"/>
      <c r="B8" s="190" t="s">
        <v>288</v>
      </c>
      <c r="C8" s="190"/>
      <c r="D8" s="215" t="s">
        <v>289</v>
      </c>
      <c r="E8" s="216"/>
      <c r="F8" s="3"/>
      <c r="G8" s="190" t="s">
        <v>323</v>
      </c>
      <c r="H8" s="190"/>
      <c r="I8" s="193" t="str">
        <f>IF(R26="",IF(I11="","",VLOOKUP(I11,Ranglisten!AX21:AY40,2,FALSE)),R26)</f>
        <v/>
      </c>
      <c r="J8" s="193"/>
      <c r="K8" s="193"/>
      <c r="L8" s="193"/>
      <c r="M8" s="193"/>
      <c r="N8" s="3"/>
      <c r="O8">
        <f>IF(I11&gt;0,1,0)</f>
        <v>1</v>
      </c>
      <c r="P8">
        <v>1</v>
      </c>
      <c r="Q8" s="17" t="s">
        <v>206</v>
      </c>
      <c r="R8" s="66" t="str">
        <f t="shared" si="0"/>
        <v/>
      </c>
      <c r="S8" s="1">
        <f>Mindestanforderungen!P29</f>
        <v>0</v>
      </c>
      <c r="T8" s="1">
        <v>10</v>
      </c>
      <c r="U8" s="3"/>
      <c r="V8" s="3"/>
      <c r="W8" s="3"/>
    </row>
    <row r="9" spans="1:23" ht="15" customHeight="1" x14ac:dyDescent="0.25">
      <c r="A9" s="3"/>
      <c r="B9" s="190"/>
      <c r="C9" s="190"/>
      <c r="D9" s="216"/>
      <c r="E9" s="216"/>
      <c r="F9" s="3"/>
      <c r="G9" s="190"/>
      <c r="H9" s="190"/>
      <c r="I9" s="193"/>
      <c r="J9" s="193"/>
      <c r="K9" s="193"/>
      <c r="L9" s="193"/>
      <c r="M9" s="193"/>
      <c r="N9" s="3"/>
      <c r="O9">
        <f>IF(D11&gt;0,1,0)</f>
        <v>0</v>
      </c>
      <c r="P9">
        <v>1</v>
      </c>
      <c r="Q9" s="17" t="s">
        <v>207</v>
      </c>
      <c r="R9" s="66" t="str">
        <f t="shared" si="0"/>
        <v/>
      </c>
      <c r="S9" s="1">
        <f>Mannschaftsaufstellung!AB38</f>
        <v>0</v>
      </c>
      <c r="T9" s="1">
        <v>10</v>
      </c>
      <c r="U9" s="3"/>
      <c r="V9" s="3"/>
      <c r="W9" s="3"/>
    </row>
    <row r="10" spans="1:23" x14ac:dyDescent="0.25">
      <c r="A10" s="3"/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  <c r="Q10" s="17" t="s">
        <v>307</v>
      </c>
      <c r="R10" s="66" t="str">
        <f>IF(S10=20,"erledigt","")</f>
        <v/>
      </c>
      <c r="S10" s="1">
        <f>Spielbericht!DB29</f>
        <v>0</v>
      </c>
      <c r="T10" s="1">
        <v>20</v>
      </c>
      <c r="U10" s="3"/>
      <c r="V10" s="3"/>
      <c r="W10" s="3"/>
    </row>
    <row r="11" spans="1:23" x14ac:dyDescent="0.25">
      <c r="A11" s="3"/>
      <c r="B11" s="190" t="s">
        <v>3</v>
      </c>
      <c r="C11" s="190"/>
      <c r="D11" s="191"/>
      <c r="E11" s="192"/>
      <c r="F11" s="3"/>
      <c r="G11" s="190" t="s">
        <v>6</v>
      </c>
      <c r="H11" s="190"/>
      <c r="I11" s="193" t="str">
        <f>IF(Grundeinstellungen!D14="","",IF(Grundeinstellungen!R24="",VLOOKUP(D14,Ranglisten!A23:AX38,50,FALSE),Grundeinstellungen!R24))</f>
        <v/>
      </c>
      <c r="J11" s="193"/>
      <c r="K11" s="193"/>
      <c r="L11" s="193"/>
      <c r="M11" s="193"/>
      <c r="N11" s="3"/>
      <c r="O11">
        <f>IF(D14&gt;0,1,0)</f>
        <v>0</v>
      </c>
      <c r="P11">
        <v>1</v>
      </c>
      <c r="Q11" s="17" t="s">
        <v>209</v>
      </c>
      <c r="R11" s="66" t="str">
        <f t="shared" si="0"/>
        <v/>
      </c>
      <c r="S11" s="1">
        <f>Spielbericht!DY2</f>
        <v>0</v>
      </c>
      <c r="T11" s="1">
        <v>10</v>
      </c>
      <c r="U11" s="3"/>
      <c r="V11" s="3"/>
      <c r="W11" s="3"/>
    </row>
    <row r="12" spans="1:23" x14ac:dyDescent="0.25">
      <c r="A12" s="3"/>
      <c r="B12" s="190"/>
      <c r="C12" s="190"/>
      <c r="D12" s="192"/>
      <c r="E12" s="192"/>
      <c r="F12" s="3"/>
      <c r="G12" s="190"/>
      <c r="H12" s="190"/>
      <c r="I12" s="193"/>
      <c r="J12" s="193"/>
      <c r="K12" s="193"/>
      <c r="L12" s="193"/>
      <c r="M12" s="193"/>
      <c r="N12" s="3"/>
      <c r="Q12" s="17" t="s">
        <v>210</v>
      </c>
      <c r="R12" s="66" t="str">
        <f>IF(S12=30,"erledigt","")</f>
        <v/>
      </c>
      <c r="S12" s="1">
        <f>Spielbericht!DM35</f>
        <v>0</v>
      </c>
      <c r="T12" s="1">
        <v>30</v>
      </c>
      <c r="U12" s="3"/>
      <c r="V12" s="3"/>
      <c r="W12" s="3"/>
    </row>
    <row r="13" spans="1:23" x14ac:dyDescent="0.25">
      <c r="A13" s="3"/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3"/>
      <c r="N13" s="3"/>
      <c r="Q13" s="3"/>
      <c r="R13" s="3"/>
      <c r="S13" s="8"/>
      <c r="T13" s="1">
        <f>SUM(T6:T12)</f>
        <v>100</v>
      </c>
      <c r="U13" s="3"/>
      <c r="V13" s="3"/>
      <c r="W13" s="3"/>
    </row>
    <row r="14" spans="1:23" x14ac:dyDescent="0.25">
      <c r="A14" s="3"/>
      <c r="B14" s="190" t="s">
        <v>4</v>
      </c>
      <c r="C14" s="190"/>
      <c r="D14" s="194"/>
      <c r="E14" s="195"/>
      <c r="F14" s="195"/>
      <c r="G14" s="195"/>
      <c r="H14" s="195"/>
      <c r="I14" s="195"/>
      <c r="J14" s="195"/>
      <c r="K14" s="195"/>
      <c r="L14" s="195"/>
      <c r="M14" s="196"/>
      <c r="N14" s="3"/>
      <c r="O14">
        <f>IF(D17&gt;0,1,0)</f>
        <v>0</v>
      </c>
      <c r="P14">
        <v>1</v>
      </c>
      <c r="Q14" s="3"/>
      <c r="R14" s="3"/>
      <c r="S14" s="8"/>
      <c r="U14" s="3"/>
      <c r="V14" s="3"/>
      <c r="W14" s="3"/>
    </row>
    <row r="15" spans="1:23" x14ac:dyDescent="0.25">
      <c r="A15" s="3"/>
      <c r="B15" s="190"/>
      <c r="C15" s="190"/>
      <c r="D15" s="197"/>
      <c r="E15" s="198"/>
      <c r="F15" s="198"/>
      <c r="G15" s="198"/>
      <c r="H15" s="198"/>
      <c r="I15" s="198"/>
      <c r="J15" s="198"/>
      <c r="K15" s="198"/>
      <c r="L15" s="198"/>
      <c r="M15" s="199"/>
      <c r="N15" s="3"/>
      <c r="Q15" s="3"/>
      <c r="R15" s="3"/>
      <c r="S15" s="8"/>
      <c r="U15" s="3"/>
      <c r="V15" s="3"/>
      <c r="W15" s="3"/>
    </row>
    <row r="16" spans="1:23" x14ac:dyDescent="0.25">
      <c r="A16" s="3"/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3"/>
      <c r="N16" s="3"/>
      <c r="Q16" s="3"/>
      <c r="R16" s="3"/>
      <c r="S16" s="8"/>
      <c r="U16" s="3"/>
      <c r="V16" s="3"/>
      <c r="W16" s="3"/>
    </row>
    <row r="17" spans="1:23" x14ac:dyDescent="0.25">
      <c r="A17" s="3"/>
      <c r="B17" s="190" t="s">
        <v>5</v>
      </c>
      <c r="C17" s="190"/>
      <c r="D17" s="194"/>
      <c r="E17" s="195"/>
      <c r="F17" s="195"/>
      <c r="G17" s="195"/>
      <c r="H17" s="195"/>
      <c r="I17" s="195"/>
      <c r="J17" s="195"/>
      <c r="K17" s="195"/>
      <c r="L17" s="195"/>
      <c r="M17" s="196"/>
      <c r="N17" s="3"/>
      <c r="O17">
        <f>IF(D20&gt;0,1,0)</f>
        <v>0</v>
      </c>
      <c r="P17">
        <v>1</v>
      </c>
      <c r="Q17" s="3"/>
      <c r="R17" s="3"/>
      <c r="S17" s="8"/>
      <c r="U17" s="3"/>
      <c r="V17" s="3"/>
      <c r="W17" s="3"/>
    </row>
    <row r="18" spans="1:23" x14ac:dyDescent="0.25">
      <c r="A18" s="3"/>
      <c r="B18" s="190"/>
      <c r="C18" s="190"/>
      <c r="D18" s="197"/>
      <c r="E18" s="198"/>
      <c r="F18" s="198"/>
      <c r="G18" s="198"/>
      <c r="H18" s="198"/>
      <c r="I18" s="198"/>
      <c r="J18" s="198"/>
      <c r="K18" s="198"/>
      <c r="L18" s="198"/>
      <c r="M18" s="199"/>
      <c r="N18" s="3"/>
      <c r="Q18" s="3"/>
      <c r="R18" s="3"/>
      <c r="S18" s="8"/>
      <c r="U18" s="3"/>
      <c r="V18" s="3"/>
      <c r="W18" s="3"/>
    </row>
    <row r="19" spans="1:23" x14ac:dyDescent="0.25">
      <c r="A19" s="3"/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  <c r="Q19" s="3"/>
      <c r="R19" s="3"/>
      <c r="S19" s="8"/>
      <c r="U19" s="3"/>
      <c r="V19" s="3"/>
      <c r="W19" s="3"/>
    </row>
    <row r="20" spans="1:23" ht="15" customHeight="1" x14ac:dyDescent="0.25">
      <c r="A20" s="3"/>
      <c r="B20" s="190" t="s">
        <v>7</v>
      </c>
      <c r="C20" s="190"/>
      <c r="D20" s="194"/>
      <c r="E20" s="195"/>
      <c r="F20" s="195"/>
      <c r="G20" s="195"/>
      <c r="H20" s="195"/>
      <c r="I20" s="195"/>
      <c r="J20" s="195"/>
      <c r="K20" s="195"/>
      <c r="L20" s="200" t="s">
        <v>342</v>
      </c>
      <c r="M20" s="202"/>
      <c r="N20" s="3"/>
      <c r="O20">
        <f>IF(D23&gt;0,1,0)</f>
        <v>0</v>
      </c>
      <c r="P20">
        <v>1</v>
      </c>
      <c r="Q20" s="3"/>
      <c r="R20" s="3"/>
      <c r="S20" s="8"/>
      <c r="U20" s="3"/>
      <c r="V20" s="3"/>
      <c r="W20" s="3"/>
    </row>
    <row r="21" spans="1:23" ht="15" customHeight="1" x14ac:dyDescent="0.25">
      <c r="A21" s="3"/>
      <c r="B21" s="190"/>
      <c r="C21" s="190"/>
      <c r="D21" s="197"/>
      <c r="E21" s="198"/>
      <c r="F21" s="198"/>
      <c r="G21" s="198"/>
      <c r="H21" s="198"/>
      <c r="I21" s="198"/>
      <c r="J21" s="198"/>
      <c r="K21" s="198"/>
      <c r="L21" s="201"/>
      <c r="M21" s="202"/>
      <c r="N21" s="3"/>
      <c r="Q21" s="3"/>
      <c r="R21" s="3"/>
      <c r="S21" s="8"/>
      <c r="U21" s="3"/>
      <c r="V21" s="3"/>
      <c r="W21" s="3"/>
    </row>
    <row r="22" spans="1:23" ht="15" customHeight="1" x14ac:dyDescent="0.25">
      <c r="A22" s="3"/>
      <c r="B22" s="3"/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  <c r="Q22" s="3"/>
      <c r="R22" s="3"/>
      <c r="S22" s="8"/>
      <c r="U22" s="3"/>
      <c r="V22" s="3"/>
      <c r="W22" s="3"/>
    </row>
    <row r="23" spans="1:23" ht="15" customHeight="1" x14ac:dyDescent="0.25">
      <c r="A23" s="3"/>
      <c r="B23" s="190" t="s">
        <v>8</v>
      </c>
      <c r="C23" s="190"/>
      <c r="D23" s="194"/>
      <c r="E23" s="195"/>
      <c r="F23" s="195"/>
      <c r="G23" s="195"/>
      <c r="H23" s="195"/>
      <c r="I23" s="195"/>
      <c r="J23" s="195"/>
      <c r="K23" s="195"/>
      <c r="L23" s="200" t="s">
        <v>342</v>
      </c>
      <c r="M23" s="202"/>
      <c r="N23" s="3"/>
      <c r="Q23" s="3"/>
      <c r="R23" s="3"/>
      <c r="S23" s="8"/>
      <c r="U23" s="3"/>
      <c r="V23" s="3"/>
      <c r="W23" s="3"/>
    </row>
    <row r="24" spans="1:23" ht="15" customHeight="1" x14ac:dyDescent="0.25">
      <c r="A24" s="3"/>
      <c r="B24" s="190"/>
      <c r="C24" s="190"/>
      <c r="D24" s="197"/>
      <c r="E24" s="198"/>
      <c r="F24" s="198"/>
      <c r="G24" s="198"/>
      <c r="H24" s="198"/>
      <c r="I24" s="198"/>
      <c r="J24" s="198"/>
      <c r="K24" s="198"/>
      <c r="L24" s="201"/>
      <c r="M24" s="202"/>
      <c r="N24" s="3"/>
      <c r="Q24" s="184" t="s">
        <v>6</v>
      </c>
      <c r="R24" s="186"/>
      <c r="S24" s="186"/>
      <c r="T24" s="186"/>
      <c r="U24" s="186"/>
      <c r="V24" s="186"/>
      <c r="W24" s="187"/>
    </row>
    <row r="25" spans="1:23" ht="21" x14ac:dyDescent="0.25">
      <c r="A25" s="3"/>
      <c r="B25" s="77"/>
      <c r="C25" s="77"/>
      <c r="D25" s="78"/>
      <c r="E25" s="78"/>
      <c r="F25" s="78"/>
      <c r="G25" s="78"/>
      <c r="H25" s="78"/>
      <c r="I25" s="78"/>
      <c r="J25" s="78"/>
      <c r="K25" s="78"/>
      <c r="L25" s="78"/>
      <c r="M25" s="78"/>
      <c r="N25" s="3"/>
      <c r="Q25" s="185"/>
      <c r="R25" s="188"/>
      <c r="S25" s="188"/>
      <c r="T25" s="188"/>
      <c r="U25" s="188"/>
      <c r="V25" s="188"/>
      <c r="W25" s="189"/>
    </row>
    <row r="26" spans="1:23" x14ac:dyDescent="0.25">
      <c r="A26" s="3"/>
      <c r="B26" s="190" t="s">
        <v>284</v>
      </c>
      <c r="C26" s="190"/>
      <c r="D26" s="194" t="s">
        <v>285</v>
      </c>
      <c r="E26" s="195"/>
      <c r="F26" s="195"/>
      <c r="G26" s="195"/>
      <c r="H26" s="195"/>
      <c r="I26" s="195"/>
      <c r="J26" s="195"/>
      <c r="K26" s="195"/>
      <c r="L26" s="195"/>
      <c r="M26" s="196"/>
      <c r="N26" s="3"/>
      <c r="O26">
        <f>SUM(O5:O25)</f>
        <v>1</v>
      </c>
      <c r="P26">
        <f>SUM(P5:P25)</f>
        <v>7</v>
      </c>
      <c r="Q26" s="184" t="s">
        <v>323</v>
      </c>
      <c r="R26" s="186"/>
      <c r="S26" s="186"/>
      <c r="T26" s="186"/>
      <c r="U26" s="186"/>
      <c r="V26" s="186"/>
      <c r="W26" s="187"/>
    </row>
    <row r="27" spans="1:23" x14ac:dyDescent="0.25">
      <c r="A27" s="3"/>
      <c r="B27" s="190"/>
      <c r="C27" s="190"/>
      <c r="D27" s="197"/>
      <c r="E27" s="198"/>
      <c r="F27" s="198"/>
      <c r="G27" s="198"/>
      <c r="H27" s="198"/>
      <c r="I27" s="198"/>
      <c r="J27" s="198"/>
      <c r="K27" s="198"/>
      <c r="L27" s="198"/>
      <c r="M27" s="199"/>
      <c r="N27" s="3"/>
      <c r="O27" s="208">
        <f>IF(O26=P26,10,0)</f>
        <v>0</v>
      </c>
      <c r="P27" s="208"/>
      <c r="Q27" s="185"/>
      <c r="R27" s="188"/>
      <c r="S27" s="188"/>
      <c r="T27" s="188"/>
      <c r="U27" s="188"/>
      <c r="V27" s="188"/>
      <c r="W27" s="189"/>
    </row>
    <row r="28" spans="1:23" x14ac:dyDescent="0.25">
      <c r="A28" s="3"/>
      <c r="B28" s="3"/>
      <c r="C28" s="3"/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  <c r="Q28" s="3"/>
      <c r="R28" s="3"/>
      <c r="S28" s="8"/>
      <c r="U28" s="3"/>
      <c r="V28" s="3"/>
      <c r="W28" s="3"/>
    </row>
    <row r="29" spans="1:23" x14ac:dyDescent="0.25">
      <c r="A29" s="3"/>
      <c r="B29" s="3"/>
      <c r="C29" s="211" t="s">
        <v>9</v>
      </c>
      <c r="D29" s="211"/>
      <c r="E29" s="3"/>
      <c r="F29" s="3"/>
      <c r="G29" s="3"/>
      <c r="H29" s="3"/>
      <c r="I29" s="3"/>
      <c r="J29" s="3"/>
      <c r="K29" s="3"/>
      <c r="L29" s="3"/>
      <c r="M29" s="3"/>
      <c r="N29" s="3"/>
      <c r="Q29" s="3"/>
      <c r="R29" s="3"/>
      <c r="S29" s="8"/>
      <c r="U29" s="3"/>
      <c r="V29" s="3"/>
      <c r="W29" s="3"/>
    </row>
    <row r="30" spans="1:23" x14ac:dyDescent="0.25">
      <c r="A30" s="3"/>
      <c r="B30" s="3"/>
      <c r="C30" s="3"/>
      <c r="D30" s="3"/>
      <c r="E30" s="3"/>
      <c r="F30" s="3"/>
      <c r="G30" s="3"/>
      <c r="H30" s="3"/>
      <c r="I30" s="3"/>
      <c r="J30" s="3"/>
      <c r="K30" s="3"/>
      <c r="L30" s="3"/>
      <c r="M30" s="6"/>
      <c r="N30" s="6"/>
      <c r="Q30" s="3"/>
      <c r="R30" s="3"/>
      <c r="S30" s="8"/>
      <c r="U30" s="3"/>
      <c r="V30" s="3"/>
      <c r="W30" s="3"/>
    </row>
    <row r="31" spans="1:23" x14ac:dyDescent="0.25">
      <c r="A31" s="3"/>
      <c r="B31" s="209">
        <f>S6+S7+S8+S9+S10+S11+S12</f>
        <v>0</v>
      </c>
      <c r="C31" s="210"/>
      <c r="D31" s="212"/>
      <c r="E31" s="204"/>
      <c r="F31" s="204"/>
      <c r="G31" s="204"/>
      <c r="H31" s="204"/>
      <c r="I31" s="204"/>
      <c r="J31" s="204"/>
      <c r="K31" s="204"/>
      <c r="L31" s="204"/>
      <c r="M31" s="206"/>
      <c r="N31" s="6"/>
      <c r="Q31" s="3"/>
      <c r="R31" s="3"/>
      <c r="S31" s="8"/>
      <c r="U31" s="3"/>
      <c r="V31" s="3"/>
      <c r="W31" s="3"/>
    </row>
    <row r="32" spans="1:23" x14ac:dyDescent="0.25">
      <c r="A32" s="3"/>
      <c r="B32" s="209"/>
      <c r="C32" s="210"/>
      <c r="D32" s="213"/>
      <c r="E32" s="205"/>
      <c r="F32" s="205"/>
      <c r="G32" s="205"/>
      <c r="H32" s="205"/>
      <c r="I32" s="205"/>
      <c r="J32" s="205"/>
      <c r="K32" s="205"/>
      <c r="L32" s="205"/>
      <c r="M32" s="207"/>
      <c r="N32" s="6"/>
      <c r="Q32" s="3"/>
      <c r="R32" s="3"/>
      <c r="S32" s="8"/>
      <c r="U32" s="3"/>
      <c r="V32" s="3"/>
      <c r="W32" s="3"/>
    </row>
    <row r="33" spans="1:23" x14ac:dyDescent="0.25">
      <c r="A33" s="3"/>
      <c r="B33" s="3"/>
      <c r="C33" s="3"/>
      <c r="D33" s="3"/>
      <c r="E33" s="3"/>
      <c r="F33" s="3"/>
      <c r="G33" s="3"/>
      <c r="H33" s="3"/>
      <c r="I33" s="3"/>
      <c r="J33" s="3"/>
      <c r="K33" s="3"/>
      <c r="L33" s="3"/>
      <c r="M33" s="3"/>
      <c r="N33" s="3"/>
      <c r="Q33" s="3"/>
      <c r="R33" s="3"/>
      <c r="S33" s="8"/>
      <c r="U33" s="3"/>
      <c r="V33" s="3"/>
      <c r="W33" s="3"/>
    </row>
    <row r="34" spans="1:23" x14ac:dyDescent="0.25">
      <c r="A34" s="3"/>
      <c r="B34" s="3"/>
      <c r="C34" s="3"/>
      <c r="D34" s="3"/>
      <c r="E34" s="3"/>
      <c r="F34" s="7"/>
      <c r="G34" s="3"/>
      <c r="H34" s="3"/>
      <c r="I34" s="3"/>
      <c r="J34" s="3"/>
      <c r="K34" s="3"/>
      <c r="L34" s="3"/>
      <c r="M34" s="3"/>
      <c r="N34" s="3"/>
      <c r="Q34" s="3"/>
      <c r="R34" s="3"/>
      <c r="S34" s="8"/>
      <c r="U34" s="3"/>
      <c r="V34" s="3"/>
      <c r="W34" s="3"/>
    </row>
    <row r="35" spans="1:23" x14ac:dyDescent="0.25">
      <c r="A35" s="3"/>
      <c r="B35" s="211" t="s">
        <v>30</v>
      </c>
      <c r="C35" s="211"/>
      <c r="D35" s="211"/>
      <c r="E35" s="211"/>
      <c r="F35" s="217" t="s">
        <v>27</v>
      </c>
      <c r="G35" s="217"/>
      <c r="H35" s="217" t="s">
        <v>31</v>
      </c>
      <c r="I35" s="217"/>
      <c r="J35" s="3"/>
      <c r="K35" s="3"/>
      <c r="L35" s="3"/>
      <c r="M35" s="3"/>
      <c r="N35" s="3"/>
      <c r="Q35" s="3"/>
      <c r="R35" s="3"/>
      <c r="S35" s="8"/>
      <c r="U35" s="3"/>
      <c r="V35" s="3"/>
      <c r="W35" s="3"/>
    </row>
    <row r="36" spans="1:23" x14ac:dyDescent="0.25">
      <c r="A36" s="3"/>
      <c r="B36" s="3"/>
      <c r="C36" s="3"/>
      <c r="D36" s="3"/>
      <c r="E36" s="3"/>
      <c r="F36" s="214"/>
      <c r="G36" s="214"/>
      <c r="H36" s="214"/>
      <c r="I36" s="214"/>
      <c r="J36" s="3"/>
      <c r="K36" s="3"/>
      <c r="L36" s="3"/>
      <c r="M36" s="3"/>
      <c r="N36" s="3"/>
      <c r="Q36" s="3"/>
      <c r="R36" s="3"/>
      <c r="S36" s="8"/>
      <c r="U36" s="3"/>
      <c r="V36" s="3"/>
      <c r="W36" s="3"/>
    </row>
    <row r="37" spans="1:23" x14ac:dyDescent="0.25">
      <c r="A37" s="3"/>
      <c r="B37" s="3"/>
      <c r="C37" s="3"/>
      <c r="D37" s="3"/>
      <c r="E37" s="3"/>
      <c r="F37" s="214"/>
      <c r="G37" s="214"/>
      <c r="H37" s="214"/>
      <c r="I37" s="214"/>
      <c r="J37" s="3"/>
      <c r="K37" s="3"/>
      <c r="L37" s="3"/>
      <c r="M37" s="3"/>
      <c r="N37" s="3"/>
      <c r="Q37" s="3"/>
      <c r="R37" s="3"/>
      <c r="S37" s="8"/>
      <c r="U37" s="3"/>
      <c r="V37" s="3"/>
      <c r="W37" s="3"/>
    </row>
    <row r="38" spans="1:23" x14ac:dyDescent="0.25">
      <c r="A38" s="3"/>
      <c r="B38" s="3"/>
      <c r="C38" s="3"/>
      <c r="D38" s="3"/>
      <c r="E38" s="3"/>
      <c r="F38" s="3"/>
      <c r="G38" s="3"/>
      <c r="H38" s="3"/>
      <c r="I38" s="3"/>
      <c r="J38" s="3"/>
      <c r="K38" s="3"/>
      <c r="L38" s="3"/>
      <c r="M38" s="3"/>
      <c r="N38" s="3"/>
      <c r="Q38" s="3"/>
      <c r="R38" s="3"/>
      <c r="S38" s="8"/>
      <c r="U38" s="3"/>
      <c r="V38" s="3"/>
      <c r="W38" s="3"/>
    </row>
  </sheetData>
  <sheetProtection sheet="1" objects="1" scenarios="1" selectLockedCells="1"/>
  <mergeCells count="52">
    <mergeCell ref="F37:G37"/>
    <mergeCell ref="H37:I37"/>
    <mergeCell ref="Q5:R5"/>
    <mergeCell ref="B26:C27"/>
    <mergeCell ref="D26:M27"/>
    <mergeCell ref="B8:C9"/>
    <mergeCell ref="D8:E9"/>
    <mergeCell ref="G8:H9"/>
    <mergeCell ref="I8:M9"/>
    <mergeCell ref="B35:E35"/>
    <mergeCell ref="F35:G35"/>
    <mergeCell ref="F36:G36"/>
    <mergeCell ref="H35:I35"/>
    <mergeCell ref="H36:I36"/>
    <mergeCell ref="I31:I32"/>
    <mergeCell ref="J31:J32"/>
    <mergeCell ref="K31:K32"/>
    <mergeCell ref="L31:L32"/>
    <mergeCell ref="M31:M32"/>
    <mergeCell ref="O27:P27"/>
    <mergeCell ref="B23:C24"/>
    <mergeCell ref="B31:C32"/>
    <mergeCell ref="C29:D29"/>
    <mergeCell ref="D31:D32"/>
    <mergeCell ref="E31:E32"/>
    <mergeCell ref="F31:F32"/>
    <mergeCell ref="G31:G32"/>
    <mergeCell ref="H31:H32"/>
    <mergeCell ref="D23:K24"/>
    <mergeCell ref="L23:L24"/>
    <mergeCell ref="M23:M24"/>
    <mergeCell ref="B2:J3"/>
    <mergeCell ref="B5:C6"/>
    <mergeCell ref="D5:E6"/>
    <mergeCell ref="G5:J6"/>
    <mergeCell ref="K5:M6"/>
    <mergeCell ref="Q24:Q25"/>
    <mergeCell ref="R24:W25"/>
    <mergeCell ref="Q26:Q27"/>
    <mergeCell ref="R26:W27"/>
    <mergeCell ref="B11:C12"/>
    <mergeCell ref="D11:E12"/>
    <mergeCell ref="G11:H12"/>
    <mergeCell ref="I11:M12"/>
    <mergeCell ref="B14:C15"/>
    <mergeCell ref="B17:C18"/>
    <mergeCell ref="D14:M15"/>
    <mergeCell ref="D17:M18"/>
    <mergeCell ref="B20:C21"/>
    <mergeCell ref="D20:K21"/>
    <mergeCell ref="L20:L21"/>
    <mergeCell ref="M20:M21"/>
  </mergeCells>
  <conditionalFormatting sqref="K5 I11 D11 D14 D17 D20 D23">
    <cfRule type="cellIs" dxfId="134" priority="16" operator="equal">
      <formula>""</formula>
    </cfRule>
  </conditionalFormatting>
  <conditionalFormatting sqref="D31">
    <cfRule type="expression" dxfId="133" priority="15">
      <formula>$B$31&gt;9</formula>
    </cfRule>
  </conditionalFormatting>
  <conditionalFormatting sqref="E31">
    <cfRule type="expression" dxfId="132" priority="14">
      <formula>$B$31&gt;19</formula>
    </cfRule>
  </conditionalFormatting>
  <conditionalFormatting sqref="F31">
    <cfRule type="expression" dxfId="131" priority="13">
      <formula>$B$31&gt;29</formula>
    </cfRule>
  </conditionalFormatting>
  <conditionalFormatting sqref="G31">
    <cfRule type="expression" dxfId="130" priority="12">
      <formula>$B$31&gt;39</formula>
    </cfRule>
  </conditionalFormatting>
  <conditionalFormatting sqref="H31">
    <cfRule type="expression" dxfId="129" priority="11">
      <formula>$B$31&gt;49</formula>
    </cfRule>
  </conditionalFormatting>
  <conditionalFormatting sqref="I31:I32">
    <cfRule type="expression" dxfId="128" priority="10">
      <formula>$B$31&gt;59</formula>
    </cfRule>
  </conditionalFormatting>
  <conditionalFormatting sqref="J31:J32">
    <cfRule type="expression" dxfId="127" priority="9">
      <formula>$B$31&gt;69</formula>
    </cfRule>
  </conditionalFormatting>
  <conditionalFormatting sqref="K31:K32">
    <cfRule type="expression" dxfId="126" priority="8">
      <formula>$B$31&gt;79</formula>
    </cfRule>
  </conditionalFormatting>
  <conditionalFormatting sqref="L31:L32">
    <cfRule type="expression" dxfId="125" priority="7">
      <formula>$B$31&gt;89</formula>
    </cfRule>
  </conditionalFormatting>
  <conditionalFormatting sqref="M31:M32">
    <cfRule type="expression" dxfId="124" priority="6">
      <formula>$B$31&gt;99</formula>
    </cfRule>
  </conditionalFormatting>
  <conditionalFormatting sqref="R6:R11">
    <cfRule type="cellIs" dxfId="123" priority="5" operator="equal">
      <formula>"erledigt"</formula>
    </cfRule>
  </conditionalFormatting>
  <conditionalFormatting sqref="R12">
    <cfRule type="cellIs" dxfId="122" priority="4" operator="equal">
      <formula>"erledigt"</formula>
    </cfRule>
  </conditionalFormatting>
  <conditionalFormatting sqref="D26">
    <cfRule type="cellIs" dxfId="121" priority="3" operator="equal">
      <formula>""</formula>
    </cfRule>
  </conditionalFormatting>
  <conditionalFormatting sqref="I8">
    <cfRule type="cellIs" dxfId="120" priority="2" operator="equal">
      <formula>""</formula>
    </cfRule>
  </conditionalFormatting>
  <dataValidations count="2">
    <dataValidation type="list" allowBlank="1" showInputMessage="1" showErrorMessage="1" sqref="K5:M6">
      <formula1>$O$1:$O$3</formula1>
    </dataValidation>
    <dataValidation type="whole" allowBlank="1" showInputMessage="1" showErrorMessage="1" sqref="M20:M21 M23:M24">
      <formula1>0</formula1>
      <formula2>1000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5" r:id="rId4" name="Button 7">
              <controlPr defaultSize="0" print="0" autoFill="0" autoPict="0" macro="[0]!topdf">
                <anchor moveWithCells="1" sizeWithCells="1">
                  <from>
                    <xdr:col>16</xdr:col>
                    <xdr:colOff>66675</xdr:colOff>
                    <xdr:row>18</xdr:row>
                    <xdr:rowOff>28575</xdr:rowOff>
                  </from>
                  <to>
                    <xdr:col>17</xdr:col>
                    <xdr:colOff>542925</xdr:colOff>
                    <xdr:row>21</xdr:row>
                    <xdr:rowOff>85725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>
          <x14:formula1>
            <xm:f>Ranglisten!$A$23:$A$30</xm:f>
          </x14:formula1>
          <xm:sqref>D14:M15</xm:sqref>
        </x14:dataValidation>
        <x14:dataValidation type="list" allowBlank="1" showInputMessage="1" showErrorMessage="1">
          <x14:formula1>
            <xm:f>Ranglisten!$A$23:$A$30</xm:f>
          </x14:formula1>
          <xm:sqref>D17:M18</xm:sqref>
        </x14:dataValidation>
        <x14:dataValidation type="list" allowBlank="1" showInputMessage="1" showErrorMessage="1">
          <x14:formula1>
            <xm:f>Schiedsrichter!$C$2:$C$6</xm:f>
          </x14:formula1>
          <xm:sqref>D25:M25</xm:sqref>
        </x14:dataValidation>
        <x14:dataValidation type="list" allowBlank="1" showInputMessage="1" showErrorMessage="1">
          <x14:formula1>
            <xm:f>Schiedsrichter!$C$2:$C$27</xm:f>
          </x14:formula1>
          <xm:sqref>D20:K21</xm:sqref>
        </x14:dataValidation>
        <x14:dataValidation type="list" allowBlank="1" showInputMessage="1" showErrorMessage="1">
          <x14:formula1>
            <xm:f>Schiedsrichter!$C$2:$C$27</xm:f>
          </x14:formula1>
          <xm:sqref>D23:K24</xm:sqref>
        </x14:dataValidation>
        <x14:dataValidation type="list" allowBlank="1" showInputMessage="1" showErrorMessage="1">
          <x14:formula1>
            <xm:f>Schiedsrichter!$C$2:$C$27</xm:f>
          </x14:formula1>
          <xm:sqref>D26:M27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5"/>
  <dimension ref="A1:AK62"/>
  <sheetViews>
    <sheetView workbookViewId="0">
      <selection activeCell="AA15" sqref="AA15:AB15"/>
    </sheetView>
  </sheetViews>
  <sheetFormatPr baseColWidth="10" defaultRowHeight="15" x14ac:dyDescent="0.25"/>
  <cols>
    <col min="1" max="35" width="2.85546875" customWidth="1"/>
    <col min="36" max="37" width="11.42578125" hidden="1" customWidth="1"/>
  </cols>
  <sheetData>
    <row r="1" spans="1:37" x14ac:dyDescent="0.25">
      <c r="A1" s="382">
        <f>Grundeinstellungen!D14</f>
        <v>0</v>
      </c>
      <c r="B1" s="382"/>
      <c r="C1" s="382"/>
      <c r="D1" s="382"/>
      <c r="E1" s="382"/>
      <c r="F1" s="382"/>
      <c r="G1" s="382"/>
      <c r="H1" s="382"/>
      <c r="I1" s="382"/>
      <c r="J1" s="382"/>
      <c r="K1" s="382"/>
      <c r="L1" s="382"/>
      <c r="M1" s="382"/>
      <c r="O1" s="387" t="str">
        <f>Spielbericht!CR28 &amp; " : " &amp; Spielbericht!CU28</f>
        <v xml:space="preserve"> : </v>
      </c>
      <c r="P1" s="388"/>
      <c r="Q1" s="388"/>
      <c r="R1" s="388"/>
      <c r="S1" s="388"/>
      <c r="T1" s="389"/>
      <c r="V1" s="382">
        <f>Grundeinstellungen!D17</f>
        <v>0</v>
      </c>
      <c r="W1" s="382"/>
      <c r="X1" s="382"/>
      <c r="Y1" s="382"/>
      <c r="Z1" s="382"/>
      <c r="AA1" s="382"/>
      <c r="AB1" s="382"/>
      <c r="AC1" s="382"/>
      <c r="AD1" s="382"/>
      <c r="AE1" s="382"/>
      <c r="AF1" s="382"/>
      <c r="AG1" s="382"/>
      <c r="AH1" s="382"/>
    </row>
    <row r="2" spans="1:37" x14ac:dyDescent="0.25">
      <c r="A2" s="393" t="s">
        <v>199</v>
      </c>
      <c r="B2" s="393"/>
      <c r="C2" s="393"/>
      <c r="D2" s="393"/>
      <c r="E2" s="393"/>
      <c r="F2" s="393"/>
      <c r="G2" s="393"/>
      <c r="H2" s="393"/>
      <c r="I2" s="393"/>
      <c r="J2" s="393"/>
      <c r="K2" s="393"/>
      <c r="L2" s="393"/>
      <c r="M2" s="393"/>
      <c r="O2" s="390"/>
      <c r="P2" s="391"/>
      <c r="Q2" s="391"/>
      <c r="R2" s="391"/>
      <c r="S2" s="391"/>
      <c r="T2" s="392"/>
      <c r="V2" s="394" t="s">
        <v>129</v>
      </c>
      <c r="W2" s="394"/>
      <c r="X2" s="394"/>
      <c r="Y2" s="394"/>
      <c r="Z2" s="394"/>
      <c r="AA2" s="394"/>
      <c r="AB2" s="394"/>
      <c r="AC2" s="394"/>
      <c r="AD2" s="394"/>
      <c r="AE2" s="394"/>
      <c r="AF2" s="394"/>
      <c r="AG2" s="394"/>
      <c r="AH2" s="394"/>
    </row>
    <row r="3" spans="1:37" x14ac:dyDescent="0.25">
      <c r="A3" s="10"/>
      <c r="B3" s="10"/>
      <c r="C3" s="10"/>
      <c r="D3" s="10"/>
      <c r="E3" s="10"/>
      <c r="F3" s="5"/>
      <c r="G3" s="10"/>
      <c r="H3" s="10"/>
      <c r="I3" s="10"/>
      <c r="O3" s="208" t="s">
        <v>198</v>
      </c>
      <c r="P3" s="208"/>
      <c r="Q3" s="208"/>
      <c r="R3" s="208"/>
      <c r="S3" s="208"/>
      <c r="T3" s="208"/>
    </row>
    <row r="4" spans="1:37" x14ac:dyDescent="0.25">
      <c r="A4" s="379">
        <f>Grundeinstellungen!D20</f>
        <v>0</v>
      </c>
      <c r="B4" s="379"/>
      <c r="C4" s="379"/>
      <c r="D4" s="379"/>
      <c r="E4" s="379"/>
      <c r="F4" s="379"/>
      <c r="G4" s="379"/>
      <c r="H4" s="379"/>
      <c r="I4" s="5"/>
      <c r="J4" s="380"/>
      <c r="K4" s="381"/>
      <c r="L4" s="381"/>
      <c r="M4" s="381"/>
      <c r="O4" s="383">
        <f ca="1">TODAY()</f>
        <v>42418</v>
      </c>
      <c r="P4" s="378"/>
      <c r="Q4" s="378"/>
      <c r="R4" s="378"/>
      <c r="S4" s="378"/>
      <c r="T4" s="384"/>
      <c r="V4" s="380"/>
      <c r="W4" s="381"/>
      <c r="X4" s="381"/>
      <c r="Y4" s="381"/>
      <c r="AA4" s="208">
        <f>Grundeinstellungen!D23</f>
        <v>0</v>
      </c>
      <c r="AB4" s="208"/>
      <c r="AC4" s="208"/>
      <c r="AD4" s="208"/>
      <c r="AE4" s="208"/>
      <c r="AF4" s="208"/>
      <c r="AG4" s="208"/>
      <c r="AH4" s="208"/>
    </row>
    <row r="5" spans="1:37" x14ac:dyDescent="0.25">
      <c r="A5" s="378" t="s">
        <v>130</v>
      </c>
      <c r="B5" s="378"/>
      <c r="C5" s="378"/>
      <c r="D5" s="378"/>
      <c r="E5" s="378"/>
      <c r="F5" s="378"/>
      <c r="G5" s="378"/>
      <c r="H5" s="378"/>
      <c r="I5" s="10"/>
      <c r="J5" s="378" t="s">
        <v>132</v>
      </c>
      <c r="K5" s="378"/>
      <c r="L5" s="378"/>
      <c r="M5" s="378"/>
      <c r="O5" s="385">
        <f>Grundeinstellungen!D11</f>
        <v>0</v>
      </c>
      <c r="P5" s="382"/>
      <c r="Q5" s="382"/>
      <c r="R5" s="382"/>
      <c r="S5" s="382"/>
      <c r="T5" s="386"/>
      <c r="V5" s="378" t="s">
        <v>132</v>
      </c>
      <c r="W5" s="378"/>
      <c r="X5" s="378"/>
      <c r="Y5" s="378"/>
      <c r="AA5" s="378" t="s">
        <v>131</v>
      </c>
      <c r="AB5" s="378"/>
      <c r="AC5" s="378"/>
      <c r="AD5" s="378"/>
      <c r="AE5" s="378"/>
      <c r="AF5" s="378"/>
      <c r="AG5" s="378"/>
      <c r="AH5" s="378"/>
    </row>
    <row r="6" spans="1:37" x14ac:dyDescent="0.25">
      <c r="A6" s="379" t="s">
        <v>133</v>
      </c>
      <c r="B6" s="379"/>
      <c r="C6" s="379"/>
      <c r="D6" s="379"/>
      <c r="E6" s="379"/>
      <c r="F6" s="379"/>
      <c r="G6" s="379"/>
      <c r="H6" s="379"/>
      <c r="I6" s="379"/>
      <c r="J6" s="379"/>
      <c r="K6" s="379"/>
      <c r="L6" s="379"/>
      <c r="M6" s="379"/>
      <c r="N6" s="379"/>
      <c r="O6" s="379"/>
      <c r="P6" s="379"/>
      <c r="Q6" s="379"/>
      <c r="R6" s="379"/>
      <c r="S6" s="379"/>
      <c r="T6" s="379"/>
      <c r="U6" s="379"/>
      <c r="V6" s="379"/>
      <c r="W6" s="379"/>
      <c r="X6" s="379"/>
      <c r="Y6" s="379"/>
      <c r="Z6" s="379"/>
      <c r="AA6" s="379"/>
      <c r="AB6" s="379"/>
      <c r="AC6" s="379"/>
      <c r="AD6" s="379"/>
      <c r="AE6" s="379"/>
      <c r="AF6" s="379"/>
      <c r="AG6" s="379"/>
      <c r="AH6" s="379"/>
    </row>
    <row r="7" spans="1:37" ht="15.75" thickBot="1" x14ac:dyDescent="0.3">
      <c r="A7" s="232" t="s">
        <v>142</v>
      </c>
      <c r="B7" s="232"/>
      <c r="C7" s="232"/>
      <c r="D7" s="232"/>
      <c r="E7" s="232"/>
      <c r="F7" s="232"/>
      <c r="G7" s="232"/>
      <c r="H7" s="232"/>
      <c r="I7" s="232"/>
      <c r="J7" s="232"/>
      <c r="K7" s="232"/>
      <c r="L7" s="232"/>
      <c r="M7" s="232"/>
      <c r="N7" s="232"/>
      <c r="O7" s="232"/>
      <c r="P7" s="232"/>
      <c r="Q7" s="232"/>
      <c r="R7" s="232"/>
      <c r="S7" s="232"/>
      <c r="T7" s="232"/>
      <c r="U7" s="232"/>
      <c r="V7" s="232"/>
      <c r="W7" s="232"/>
      <c r="X7" s="232"/>
      <c r="Y7" s="232"/>
      <c r="Z7" s="232"/>
      <c r="AA7" s="232"/>
      <c r="AB7" s="232"/>
      <c r="AC7" s="232"/>
      <c r="AD7" s="232"/>
      <c r="AE7" s="232"/>
      <c r="AF7" s="232"/>
      <c r="AG7" s="232"/>
      <c r="AH7" s="232"/>
    </row>
    <row r="8" spans="1:37" ht="15.75" thickBot="1" x14ac:dyDescent="0.3">
      <c r="A8" s="223" t="s">
        <v>134</v>
      </c>
      <c r="B8" s="224"/>
      <c r="C8" s="224"/>
      <c r="D8" s="223" t="s">
        <v>137</v>
      </c>
      <c r="E8" s="224"/>
      <c r="F8" s="224"/>
      <c r="G8" s="224"/>
      <c r="H8" s="224"/>
      <c r="I8" s="224"/>
      <c r="J8" s="224"/>
      <c r="K8" s="224"/>
      <c r="L8" s="224"/>
      <c r="M8" s="224"/>
      <c r="N8" s="224"/>
      <c r="O8" s="224"/>
      <c r="P8" s="224"/>
      <c r="Q8" s="224"/>
      <c r="R8" s="224"/>
      <c r="S8" s="224"/>
      <c r="T8" s="224"/>
      <c r="U8" s="224"/>
      <c r="V8" s="224"/>
      <c r="W8" s="224"/>
      <c r="X8" s="224"/>
      <c r="Y8" s="224"/>
      <c r="Z8" s="225"/>
      <c r="AA8" s="218" t="s">
        <v>135</v>
      </c>
      <c r="AB8" s="219"/>
      <c r="AC8" s="219" t="s">
        <v>136</v>
      </c>
      <c r="AD8" s="235"/>
      <c r="AJ8" t="s">
        <v>202</v>
      </c>
    </row>
    <row r="9" spans="1:37" s="59" customFormat="1" ht="12" thickBot="1" x14ac:dyDescent="0.25">
      <c r="A9" s="226" t="s">
        <v>138</v>
      </c>
      <c r="B9" s="227"/>
      <c r="C9" s="228"/>
      <c r="D9" s="229" t="s">
        <v>139</v>
      </c>
      <c r="E9" s="230"/>
      <c r="F9" s="230"/>
      <c r="G9" s="230"/>
      <c r="H9" s="230"/>
      <c r="I9" s="230"/>
      <c r="J9" s="230"/>
      <c r="K9" s="230"/>
      <c r="L9" s="230"/>
      <c r="M9" s="230"/>
      <c r="N9" s="230"/>
      <c r="O9" s="230"/>
      <c r="P9" s="230"/>
      <c r="Q9" s="230"/>
      <c r="R9" s="230"/>
      <c r="S9" s="230"/>
      <c r="T9" s="230"/>
      <c r="U9" s="230"/>
      <c r="V9" s="230"/>
      <c r="W9" s="230"/>
      <c r="X9" s="230"/>
      <c r="Y9" s="230"/>
      <c r="Z9" s="231"/>
      <c r="AA9" s="220"/>
      <c r="AB9" s="221"/>
      <c r="AC9" s="221"/>
      <c r="AD9" s="222"/>
      <c r="AE9" s="233" t="s">
        <v>143</v>
      </c>
      <c r="AF9" s="233"/>
      <c r="AG9" s="233"/>
      <c r="AH9" s="234"/>
      <c r="AJ9" s="65">
        <f>COUNTIF(AA9:AD9,"x")</f>
        <v>0</v>
      </c>
      <c r="AK9" s="65">
        <v>1</v>
      </c>
    </row>
    <row r="10" spans="1:37" s="59" customFormat="1" ht="11.25" x14ac:dyDescent="0.2">
      <c r="A10" s="240" t="s">
        <v>140</v>
      </c>
      <c r="B10" s="241"/>
      <c r="C10" s="242"/>
      <c r="D10" s="261" t="s">
        <v>144</v>
      </c>
      <c r="E10" s="262"/>
      <c r="F10" s="262"/>
      <c r="G10" s="262"/>
      <c r="H10" s="262"/>
      <c r="I10" s="262"/>
      <c r="J10" s="262"/>
      <c r="K10" s="262"/>
      <c r="L10" s="262"/>
      <c r="M10" s="262"/>
      <c r="N10" s="262"/>
      <c r="O10" s="262"/>
      <c r="P10" s="262"/>
      <c r="Q10" s="262"/>
      <c r="R10" s="262"/>
      <c r="S10" s="262"/>
      <c r="T10" s="262"/>
      <c r="U10" s="262"/>
      <c r="V10" s="262"/>
      <c r="W10" s="262"/>
      <c r="X10" s="262"/>
      <c r="Y10" s="262"/>
      <c r="Z10" s="263"/>
      <c r="AA10" s="267"/>
      <c r="AB10" s="268"/>
      <c r="AC10" s="268"/>
      <c r="AD10" s="271"/>
      <c r="AE10" s="236" t="s">
        <v>143</v>
      </c>
      <c r="AF10" s="236"/>
      <c r="AG10" s="236"/>
      <c r="AH10" s="237"/>
      <c r="AJ10" s="65">
        <f>COUNTIF(AA10:AD10,"x")</f>
        <v>0</v>
      </c>
      <c r="AK10" s="65">
        <v>1</v>
      </c>
    </row>
    <row r="11" spans="1:37" s="59" customFormat="1" ht="12" thickBot="1" x14ac:dyDescent="0.25">
      <c r="A11" s="258" t="s">
        <v>141</v>
      </c>
      <c r="B11" s="259"/>
      <c r="C11" s="260"/>
      <c r="D11" s="264" t="s">
        <v>145</v>
      </c>
      <c r="E11" s="265"/>
      <c r="F11" s="265"/>
      <c r="G11" s="265"/>
      <c r="H11" s="265"/>
      <c r="I11" s="265"/>
      <c r="J11" s="265"/>
      <c r="K11" s="265"/>
      <c r="L11" s="265"/>
      <c r="M11" s="265"/>
      <c r="N11" s="265"/>
      <c r="O11" s="265"/>
      <c r="P11" s="265"/>
      <c r="Q11" s="265"/>
      <c r="R11" s="265"/>
      <c r="S11" s="265"/>
      <c r="T11" s="265"/>
      <c r="U11" s="265"/>
      <c r="V11" s="265"/>
      <c r="W11" s="265"/>
      <c r="X11" s="265"/>
      <c r="Y11" s="265"/>
      <c r="Z11" s="266"/>
      <c r="AA11" s="269"/>
      <c r="AB11" s="270"/>
      <c r="AC11" s="270"/>
      <c r="AD11" s="272"/>
      <c r="AE11" s="238"/>
      <c r="AF11" s="238"/>
      <c r="AG11" s="238"/>
      <c r="AH11" s="239"/>
      <c r="AJ11" s="65"/>
      <c r="AK11" s="65"/>
    </row>
    <row r="12" spans="1:37" s="59" customFormat="1" ht="11.25" x14ac:dyDescent="0.2">
      <c r="A12" s="240" t="s">
        <v>141</v>
      </c>
      <c r="B12" s="241"/>
      <c r="C12" s="242"/>
      <c r="D12" s="249" t="s">
        <v>146</v>
      </c>
      <c r="E12" s="250"/>
      <c r="F12" s="250"/>
      <c r="G12" s="250"/>
      <c r="H12" s="250"/>
      <c r="I12" s="250"/>
      <c r="J12" s="250"/>
      <c r="K12" s="250"/>
      <c r="L12" s="250"/>
      <c r="M12" s="250"/>
      <c r="N12" s="250"/>
      <c r="O12" s="250"/>
      <c r="P12" s="250"/>
      <c r="Q12" s="250"/>
      <c r="R12" s="250"/>
      <c r="S12" s="250"/>
      <c r="T12" s="250"/>
      <c r="U12" s="250"/>
      <c r="V12" s="250"/>
      <c r="W12" s="250"/>
      <c r="X12" s="250"/>
      <c r="Y12" s="250"/>
      <c r="Z12" s="251"/>
      <c r="AA12" s="277"/>
      <c r="AB12" s="278"/>
      <c r="AC12" s="278"/>
      <c r="AD12" s="279"/>
      <c r="AE12" s="236" t="s">
        <v>143</v>
      </c>
      <c r="AF12" s="236"/>
      <c r="AG12" s="236"/>
      <c r="AH12" s="237"/>
      <c r="AJ12" s="65">
        <f>COUNTIF(AA12:AD12,"x")</f>
        <v>0</v>
      </c>
      <c r="AK12" s="65">
        <v>1</v>
      </c>
    </row>
    <row r="13" spans="1:37" s="59" customFormat="1" ht="11.25" x14ac:dyDescent="0.2">
      <c r="A13" s="243"/>
      <c r="B13" s="244"/>
      <c r="C13" s="245"/>
      <c r="D13" s="252" t="s">
        <v>147</v>
      </c>
      <c r="E13" s="253"/>
      <c r="F13" s="253"/>
      <c r="G13" s="253"/>
      <c r="H13" s="253"/>
      <c r="I13" s="253"/>
      <c r="J13" s="253"/>
      <c r="K13" s="253"/>
      <c r="L13" s="253"/>
      <c r="M13" s="253"/>
      <c r="N13" s="253"/>
      <c r="O13" s="253"/>
      <c r="P13" s="253"/>
      <c r="Q13" s="253"/>
      <c r="R13" s="253"/>
      <c r="S13" s="253"/>
      <c r="T13" s="253"/>
      <c r="U13" s="253"/>
      <c r="V13" s="253"/>
      <c r="W13" s="253"/>
      <c r="X13" s="253"/>
      <c r="Y13" s="253"/>
      <c r="Z13" s="254"/>
      <c r="AA13" s="280"/>
      <c r="AB13" s="281"/>
      <c r="AC13" s="281"/>
      <c r="AD13" s="282"/>
      <c r="AE13" s="273" t="s">
        <v>143</v>
      </c>
      <c r="AF13" s="273"/>
      <c r="AG13" s="273"/>
      <c r="AH13" s="274"/>
      <c r="AJ13" s="65">
        <f>COUNTIF(AA13:AD13,"x")</f>
        <v>0</v>
      </c>
      <c r="AK13" s="65">
        <v>1</v>
      </c>
    </row>
    <row r="14" spans="1:37" s="59" customFormat="1" ht="11.25" x14ac:dyDescent="0.2">
      <c r="A14" s="243"/>
      <c r="B14" s="244"/>
      <c r="C14" s="245"/>
      <c r="D14" s="252" t="s">
        <v>148</v>
      </c>
      <c r="E14" s="253"/>
      <c r="F14" s="253"/>
      <c r="G14" s="253"/>
      <c r="H14" s="253"/>
      <c r="I14" s="253"/>
      <c r="J14" s="253"/>
      <c r="K14" s="253"/>
      <c r="L14" s="253"/>
      <c r="M14" s="253"/>
      <c r="N14" s="253"/>
      <c r="O14" s="253"/>
      <c r="P14" s="253"/>
      <c r="Q14" s="253"/>
      <c r="R14" s="253"/>
      <c r="S14" s="253"/>
      <c r="T14" s="253"/>
      <c r="U14" s="253"/>
      <c r="V14" s="253"/>
      <c r="W14" s="253"/>
      <c r="X14" s="253"/>
      <c r="Y14" s="253"/>
      <c r="Z14" s="254"/>
      <c r="AA14" s="280"/>
      <c r="AB14" s="281"/>
      <c r="AC14" s="281"/>
      <c r="AD14" s="282"/>
      <c r="AE14" s="273" t="s">
        <v>143</v>
      </c>
      <c r="AF14" s="273"/>
      <c r="AG14" s="273"/>
      <c r="AH14" s="274"/>
      <c r="AJ14" s="65">
        <f>COUNTIF(AA14:AD14,"x")</f>
        <v>0</v>
      </c>
      <c r="AK14" s="65">
        <v>1</v>
      </c>
    </row>
    <row r="15" spans="1:37" s="59" customFormat="1" ht="12" thickBot="1" x14ac:dyDescent="0.25">
      <c r="A15" s="246"/>
      <c r="B15" s="247"/>
      <c r="C15" s="248"/>
      <c r="D15" s="255" t="s">
        <v>149</v>
      </c>
      <c r="E15" s="256"/>
      <c r="F15" s="256"/>
      <c r="G15" s="256"/>
      <c r="H15" s="256"/>
      <c r="I15" s="256"/>
      <c r="J15" s="256"/>
      <c r="K15" s="256"/>
      <c r="L15" s="256"/>
      <c r="M15" s="256"/>
      <c r="N15" s="256"/>
      <c r="O15" s="256"/>
      <c r="P15" s="256"/>
      <c r="Q15" s="256"/>
      <c r="R15" s="256"/>
      <c r="S15" s="256"/>
      <c r="T15" s="256"/>
      <c r="U15" s="256"/>
      <c r="V15" s="256"/>
      <c r="W15" s="256"/>
      <c r="X15" s="256"/>
      <c r="Y15" s="256"/>
      <c r="Z15" s="257"/>
      <c r="AA15" s="297"/>
      <c r="AB15" s="298"/>
      <c r="AC15" s="298"/>
      <c r="AD15" s="299"/>
      <c r="AE15" s="275" t="s">
        <v>143</v>
      </c>
      <c r="AF15" s="275"/>
      <c r="AG15" s="275"/>
      <c r="AH15" s="276"/>
      <c r="AJ15" s="65">
        <f>COUNTIF(AA15:AD15,"x")</f>
        <v>0</v>
      </c>
      <c r="AK15" s="65">
        <v>1</v>
      </c>
    </row>
    <row r="16" spans="1:37" s="59" customFormat="1" ht="11.25" x14ac:dyDescent="0.2">
      <c r="A16" s="291"/>
      <c r="B16" s="292"/>
      <c r="C16" s="293"/>
      <c r="D16" s="285" t="s">
        <v>150</v>
      </c>
      <c r="E16" s="286"/>
      <c r="F16" s="286"/>
      <c r="G16" s="286"/>
      <c r="H16" s="286"/>
      <c r="I16" s="286"/>
      <c r="J16" s="286"/>
      <c r="K16" s="286"/>
      <c r="L16" s="286"/>
      <c r="M16" s="286"/>
      <c r="N16" s="286"/>
      <c r="O16" s="286"/>
      <c r="P16" s="286"/>
      <c r="Q16" s="286"/>
      <c r="R16" s="286"/>
      <c r="S16" s="286"/>
      <c r="T16" s="286"/>
      <c r="U16" s="286"/>
      <c r="V16" s="286"/>
      <c r="W16" s="286"/>
      <c r="X16" s="286"/>
      <c r="Y16" s="286"/>
      <c r="Z16" s="287"/>
      <c r="AA16" s="60"/>
      <c r="AB16" s="61"/>
      <c r="AC16" s="61"/>
      <c r="AD16" s="62"/>
      <c r="AJ16" s="65"/>
      <c r="AK16" s="65"/>
    </row>
    <row r="17" spans="1:37" s="59" customFormat="1" ht="11.25" x14ac:dyDescent="0.2">
      <c r="A17" s="291"/>
      <c r="B17" s="292"/>
      <c r="C17" s="293"/>
      <c r="D17" s="288" t="s">
        <v>151</v>
      </c>
      <c r="E17" s="289"/>
      <c r="F17" s="289"/>
      <c r="G17" s="289"/>
      <c r="H17" s="289"/>
      <c r="I17" s="289"/>
      <c r="J17" s="289"/>
      <c r="K17" s="289"/>
      <c r="L17" s="289"/>
      <c r="M17" s="289"/>
      <c r="N17" s="289"/>
      <c r="O17" s="289"/>
      <c r="P17" s="289"/>
      <c r="Q17" s="289"/>
      <c r="R17" s="289"/>
      <c r="S17" s="289"/>
      <c r="T17" s="289"/>
      <c r="U17" s="289"/>
      <c r="V17" s="289"/>
      <c r="W17" s="289"/>
      <c r="X17" s="289"/>
      <c r="Y17" s="289"/>
      <c r="Z17" s="290"/>
      <c r="AA17" s="60"/>
      <c r="AB17" s="61"/>
      <c r="AC17" s="61"/>
      <c r="AD17" s="62"/>
      <c r="AJ17" s="65"/>
      <c r="AK17" s="65"/>
    </row>
    <row r="18" spans="1:37" s="59" customFormat="1" ht="11.25" x14ac:dyDescent="0.2">
      <c r="A18" s="291"/>
      <c r="B18" s="292"/>
      <c r="C18" s="293"/>
      <c r="D18" s="288" t="s">
        <v>152</v>
      </c>
      <c r="E18" s="289"/>
      <c r="F18" s="289"/>
      <c r="G18" s="289"/>
      <c r="H18" s="289"/>
      <c r="I18" s="289"/>
      <c r="J18" s="289"/>
      <c r="K18" s="289"/>
      <c r="L18" s="289"/>
      <c r="M18" s="289"/>
      <c r="N18" s="289"/>
      <c r="O18" s="289"/>
      <c r="P18" s="289"/>
      <c r="Q18" s="289"/>
      <c r="R18" s="289"/>
      <c r="S18" s="289"/>
      <c r="T18" s="289"/>
      <c r="U18" s="289"/>
      <c r="V18" s="289"/>
      <c r="W18" s="289"/>
      <c r="X18" s="289"/>
      <c r="Y18" s="289"/>
      <c r="Z18" s="290"/>
      <c r="AA18" s="60"/>
      <c r="AB18" s="61"/>
      <c r="AC18" s="61"/>
      <c r="AD18" s="62"/>
      <c r="AJ18" s="65"/>
      <c r="AK18" s="65"/>
    </row>
    <row r="19" spans="1:37" s="59" customFormat="1" ht="11.25" x14ac:dyDescent="0.2">
      <c r="A19" s="291"/>
      <c r="B19" s="292"/>
      <c r="C19" s="293"/>
      <c r="D19" s="288" t="s">
        <v>153</v>
      </c>
      <c r="E19" s="289"/>
      <c r="F19" s="289"/>
      <c r="G19" s="289"/>
      <c r="H19" s="289"/>
      <c r="I19" s="289"/>
      <c r="J19" s="289"/>
      <c r="K19" s="289"/>
      <c r="L19" s="289"/>
      <c r="M19" s="289"/>
      <c r="N19" s="289"/>
      <c r="O19" s="289"/>
      <c r="P19" s="289"/>
      <c r="Q19" s="289"/>
      <c r="R19" s="289"/>
      <c r="S19" s="289"/>
      <c r="T19" s="289"/>
      <c r="U19" s="289"/>
      <c r="V19" s="289"/>
      <c r="W19" s="289"/>
      <c r="X19" s="289"/>
      <c r="Y19" s="289"/>
      <c r="Z19" s="290"/>
      <c r="AA19" s="60"/>
      <c r="AB19" s="61"/>
      <c r="AC19" s="61"/>
      <c r="AD19" s="62"/>
      <c r="AJ19" s="65"/>
      <c r="AK19" s="65"/>
    </row>
    <row r="20" spans="1:37" s="59" customFormat="1" ht="11.25" x14ac:dyDescent="0.2">
      <c r="A20" s="291"/>
      <c r="B20" s="292"/>
      <c r="C20" s="293"/>
      <c r="D20" s="63"/>
      <c r="E20" s="286" t="s">
        <v>154</v>
      </c>
      <c r="F20" s="286"/>
      <c r="G20" s="286"/>
      <c r="H20" s="286"/>
      <c r="I20" s="286"/>
      <c r="J20" s="286"/>
      <c r="K20" s="286"/>
      <c r="L20" s="286"/>
      <c r="M20" s="286"/>
      <c r="N20" s="286"/>
      <c r="O20" s="286"/>
      <c r="P20" s="286"/>
      <c r="Q20" s="286"/>
      <c r="R20" s="286"/>
      <c r="S20" s="286"/>
      <c r="T20" s="286"/>
      <c r="U20" s="286"/>
      <c r="V20" s="286"/>
      <c r="W20" s="286"/>
      <c r="X20" s="286"/>
      <c r="Y20" s="286"/>
      <c r="Z20" s="287"/>
      <c r="AA20" s="60"/>
      <c r="AB20" s="61"/>
      <c r="AC20" s="61"/>
      <c r="AD20" s="62"/>
      <c r="AJ20" s="65"/>
      <c r="AK20" s="65"/>
    </row>
    <row r="21" spans="1:37" s="59" customFormat="1" ht="12" thickBot="1" x14ac:dyDescent="0.25">
      <c r="A21" s="294"/>
      <c r="B21" s="295"/>
      <c r="C21" s="296"/>
      <c r="D21" s="64"/>
      <c r="E21" s="259" t="s">
        <v>162</v>
      </c>
      <c r="F21" s="259"/>
      <c r="G21" s="259"/>
      <c r="H21" s="259"/>
      <c r="I21" s="259"/>
      <c r="J21" s="259"/>
      <c r="K21" s="259"/>
      <c r="L21" s="259"/>
      <c r="M21" s="259"/>
      <c r="N21" s="259"/>
      <c r="O21" s="259"/>
      <c r="P21" s="259"/>
      <c r="Q21" s="259"/>
      <c r="R21" s="259"/>
      <c r="S21" s="259"/>
      <c r="T21" s="259"/>
      <c r="U21" s="259"/>
      <c r="V21" s="259"/>
      <c r="W21" s="259"/>
      <c r="X21" s="259"/>
      <c r="Y21" s="259"/>
      <c r="Z21" s="260"/>
      <c r="AA21" s="60"/>
      <c r="AB21" s="61"/>
      <c r="AC21" s="61"/>
      <c r="AD21" s="62"/>
      <c r="AJ21" s="65"/>
      <c r="AK21" s="65"/>
    </row>
    <row r="22" spans="1:37" s="59" customFormat="1" ht="11.25" x14ac:dyDescent="0.2">
      <c r="A22" s="240" t="s">
        <v>141</v>
      </c>
      <c r="B22" s="241"/>
      <c r="C22" s="242"/>
      <c r="D22" s="308" t="s">
        <v>156</v>
      </c>
      <c r="E22" s="309"/>
      <c r="F22" s="309"/>
      <c r="G22" s="309"/>
      <c r="H22" s="309"/>
      <c r="I22" s="309"/>
      <c r="J22" s="309"/>
      <c r="K22" s="309"/>
      <c r="L22" s="309"/>
      <c r="M22" s="309"/>
      <c r="N22" s="309"/>
      <c r="O22" s="309"/>
      <c r="P22" s="309"/>
      <c r="Q22" s="309"/>
      <c r="R22" s="309"/>
      <c r="S22" s="309"/>
      <c r="T22" s="309"/>
      <c r="U22" s="309"/>
      <c r="V22" s="309"/>
      <c r="W22" s="309"/>
      <c r="X22" s="309"/>
      <c r="Y22" s="309"/>
      <c r="Z22" s="310"/>
      <c r="AA22" s="267"/>
      <c r="AB22" s="268"/>
      <c r="AC22" s="268"/>
      <c r="AD22" s="271"/>
      <c r="AE22" s="236" t="s">
        <v>143</v>
      </c>
      <c r="AF22" s="236"/>
      <c r="AG22" s="236"/>
      <c r="AH22" s="237"/>
      <c r="AJ22" s="65">
        <f>COUNTIF(AA22:AD22,"x")</f>
        <v>0</v>
      </c>
      <c r="AK22" s="65">
        <v>1</v>
      </c>
    </row>
    <row r="23" spans="1:37" s="59" customFormat="1" ht="11.25" x14ac:dyDescent="0.2">
      <c r="A23" s="288" t="s">
        <v>155</v>
      </c>
      <c r="B23" s="289"/>
      <c r="C23" s="290"/>
      <c r="D23" s="285" t="s">
        <v>157</v>
      </c>
      <c r="E23" s="286"/>
      <c r="F23" s="286"/>
      <c r="G23" s="286"/>
      <c r="H23" s="286"/>
      <c r="I23" s="286"/>
      <c r="J23" s="286"/>
      <c r="K23" s="286"/>
      <c r="L23" s="286"/>
      <c r="M23" s="286"/>
      <c r="N23" s="286"/>
      <c r="O23" s="286"/>
      <c r="P23" s="286"/>
      <c r="Q23" s="286"/>
      <c r="R23" s="286"/>
      <c r="S23" s="286"/>
      <c r="T23" s="286"/>
      <c r="U23" s="286"/>
      <c r="V23" s="286"/>
      <c r="W23" s="286"/>
      <c r="X23" s="286"/>
      <c r="Y23" s="286"/>
      <c r="Z23" s="287"/>
      <c r="AA23" s="311"/>
      <c r="AB23" s="283"/>
      <c r="AC23" s="283"/>
      <c r="AD23" s="284"/>
      <c r="AE23" s="306"/>
      <c r="AF23" s="306"/>
      <c r="AG23" s="306"/>
      <c r="AH23" s="307"/>
      <c r="AJ23" s="65"/>
      <c r="AK23" s="65"/>
    </row>
    <row r="24" spans="1:37" s="59" customFormat="1" ht="12" thickBot="1" x14ac:dyDescent="0.25">
      <c r="A24" s="291"/>
      <c r="B24" s="292"/>
      <c r="C24" s="293"/>
      <c r="D24" s="285" t="s">
        <v>158</v>
      </c>
      <c r="E24" s="286"/>
      <c r="F24" s="286"/>
      <c r="G24" s="286"/>
      <c r="H24" s="286"/>
      <c r="I24" s="286"/>
      <c r="J24" s="286"/>
      <c r="K24" s="286"/>
      <c r="L24" s="286"/>
      <c r="M24" s="286"/>
      <c r="N24" s="286"/>
      <c r="O24" s="286"/>
      <c r="P24" s="286"/>
      <c r="Q24" s="286"/>
      <c r="R24" s="286"/>
      <c r="S24" s="286"/>
      <c r="T24" s="286"/>
      <c r="U24" s="286"/>
      <c r="V24" s="286"/>
      <c r="W24" s="286"/>
      <c r="X24" s="286"/>
      <c r="Y24" s="286"/>
      <c r="Z24" s="287"/>
      <c r="AA24" s="311"/>
      <c r="AB24" s="283"/>
      <c r="AC24" s="283"/>
      <c r="AD24" s="284"/>
      <c r="AE24" s="238"/>
      <c r="AF24" s="238"/>
      <c r="AG24" s="238"/>
      <c r="AH24" s="239"/>
      <c r="AJ24" s="65"/>
      <c r="AK24" s="65"/>
    </row>
    <row r="25" spans="1:37" s="59" customFormat="1" ht="11.25" x14ac:dyDescent="0.2">
      <c r="A25" s="240"/>
      <c r="B25" s="241"/>
      <c r="C25" s="242"/>
      <c r="D25" s="308" t="s">
        <v>159</v>
      </c>
      <c r="E25" s="309"/>
      <c r="F25" s="309"/>
      <c r="G25" s="309"/>
      <c r="H25" s="309"/>
      <c r="I25" s="309"/>
      <c r="J25" s="309"/>
      <c r="K25" s="309"/>
      <c r="L25" s="309"/>
      <c r="M25" s="309"/>
      <c r="N25" s="309"/>
      <c r="O25" s="309"/>
      <c r="P25" s="309"/>
      <c r="Q25" s="309"/>
      <c r="R25" s="309"/>
      <c r="S25" s="309"/>
      <c r="T25" s="309"/>
      <c r="U25" s="309"/>
      <c r="V25" s="309"/>
      <c r="W25" s="309"/>
      <c r="X25" s="309"/>
      <c r="Y25" s="309"/>
      <c r="Z25" s="310"/>
      <c r="AA25" s="267"/>
      <c r="AB25" s="268"/>
      <c r="AC25" s="268"/>
      <c r="AD25" s="271"/>
      <c r="AJ25" s="65">
        <f>COUNTIF(AA25:AD25,"x")</f>
        <v>0</v>
      </c>
      <c r="AK25" s="65">
        <v>1</v>
      </c>
    </row>
    <row r="26" spans="1:37" s="59" customFormat="1" ht="11.25" x14ac:dyDescent="0.2">
      <c r="A26" s="288"/>
      <c r="B26" s="289"/>
      <c r="C26" s="290"/>
      <c r="D26" s="285" t="s">
        <v>160</v>
      </c>
      <c r="E26" s="286"/>
      <c r="F26" s="286"/>
      <c r="G26" s="286"/>
      <c r="H26" s="286"/>
      <c r="I26" s="286"/>
      <c r="J26" s="286"/>
      <c r="K26" s="286"/>
      <c r="L26" s="286"/>
      <c r="M26" s="286"/>
      <c r="N26" s="286"/>
      <c r="O26" s="286"/>
      <c r="P26" s="286"/>
      <c r="Q26" s="286"/>
      <c r="R26" s="286"/>
      <c r="S26" s="286"/>
      <c r="T26" s="286"/>
      <c r="U26" s="286"/>
      <c r="V26" s="286"/>
      <c r="W26" s="286"/>
      <c r="X26" s="286"/>
      <c r="Y26" s="286"/>
      <c r="Z26" s="287"/>
      <c r="AA26" s="311"/>
      <c r="AB26" s="283"/>
      <c r="AC26" s="283"/>
      <c r="AD26" s="284"/>
      <c r="AJ26" s="65"/>
      <c r="AK26" s="65"/>
    </row>
    <row r="27" spans="1:37" s="59" customFormat="1" ht="11.25" x14ac:dyDescent="0.2">
      <c r="A27" s="303"/>
      <c r="B27" s="304"/>
      <c r="C27" s="305"/>
      <c r="D27" s="300" t="s">
        <v>161</v>
      </c>
      <c r="E27" s="301"/>
      <c r="F27" s="301"/>
      <c r="G27" s="301"/>
      <c r="H27" s="301"/>
      <c r="I27" s="301"/>
      <c r="J27" s="301"/>
      <c r="K27" s="301"/>
      <c r="L27" s="301"/>
      <c r="M27" s="301"/>
      <c r="N27" s="301"/>
      <c r="O27" s="301"/>
      <c r="P27" s="301"/>
      <c r="Q27" s="301"/>
      <c r="R27" s="301"/>
      <c r="S27" s="301"/>
      <c r="T27" s="301"/>
      <c r="U27" s="301"/>
      <c r="V27" s="301"/>
      <c r="W27" s="301"/>
      <c r="X27" s="301"/>
      <c r="Y27" s="301"/>
      <c r="Z27" s="302"/>
      <c r="AA27" s="312"/>
      <c r="AB27" s="313"/>
      <c r="AC27" s="313"/>
      <c r="AD27" s="314"/>
      <c r="AJ27" s="65"/>
      <c r="AK27" s="65"/>
    </row>
    <row r="28" spans="1:37" s="59" customFormat="1" ht="11.25" x14ac:dyDescent="0.2">
      <c r="A28" s="303"/>
      <c r="B28" s="304"/>
      <c r="C28" s="305"/>
      <c r="D28" s="300" t="s">
        <v>163</v>
      </c>
      <c r="E28" s="301"/>
      <c r="F28" s="301"/>
      <c r="G28" s="301"/>
      <c r="H28" s="301"/>
      <c r="I28" s="301"/>
      <c r="J28" s="301"/>
      <c r="K28" s="301"/>
      <c r="L28" s="301"/>
      <c r="M28" s="301"/>
      <c r="N28" s="301"/>
      <c r="O28" s="301"/>
      <c r="P28" s="301"/>
      <c r="Q28" s="301"/>
      <c r="R28" s="301"/>
      <c r="S28" s="301"/>
      <c r="T28" s="301"/>
      <c r="U28" s="301"/>
      <c r="V28" s="301"/>
      <c r="W28" s="301"/>
      <c r="X28" s="301"/>
      <c r="Y28" s="301"/>
      <c r="Z28" s="302"/>
      <c r="AA28" s="322"/>
      <c r="AB28" s="323"/>
      <c r="AC28" s="323"/>
      <c r="AD28" s="324"/>
      <c r="AJ28" s="65"/>
      <c r="AK28" s="65"/>
    </row>
    <row r="29" spans="1:37" s="59" customFormat="1" ht="11.25" x14ac:dyDescent="0.2">
      <c r="A29" s="303"/>
      <c r="B29" s="304"/>
      <c r="C29" s="305"/>
      <c r="D29" s="300" t="s">
        <v>164</v>
      </c>
      <c r="E29" s="301"/>
      <c r="F29" s="301"/>
      <c r="G29" s="301"/>
      <c r="H29" s="301"/>
      <c r="I29" s="301"/>
      <c r="J29" s="301"/>
      <c r="K29" s="301"/>
      <c r="L29" s="301"/>
      <c r="M29" s="301"/>
      <c r="N29" s="301"/>
      <c r="O29" s="301"/>
      <c r="P29" s="301"/>
      <c r="Q29" s="301"/>
      <c r="R29" s="301"/>
      <c r="S29" s="301"/>
      <c r="T29" s="301"/>
      <c r="U29" s="301"/>
      <c r="V29" s="301"/>
      <c r="W29" s="301"/>
      <c r="X29" s="301"/>
      <c r="Y29" s="301"/>
      <c r="Z29" s="302"/>
      <c r="AA29" s="315"/>
      <c r="AB29" s="316"/>
      <c r="AC29" s="316"/>
      <c r="AD29" s="317"/>
      <c r="AJ29" s="65"/>
      <c r="AK29" s="65"/>
    </row>
    <row r="30" spans="1:37" s="59" customFormat="1" ht="12" thickBot="1" x14ac:dyDescent="0.25">
      <c r="A30" s="303"/>
      <c r="B30" s="304"/>
      <c r="C30" s="305"/>
      <c r="D30" s="300" t="s">
        <v>165</v>
      </c>
      <c r="E30" s="301"/>
      <c r="F30" s="301"/>
      <c r="G30" s="301"/>
      <c r="H30" s="301"/>
      <c r="I30" s="301"/>
      <c r="J30" s="301"/>
      <c r="K30" s="301"/>
      <c r="L30" s="301"/>
      <c r="M30" s="301"/>
      <c r="N30" s="301"/>
      <c r="O30" s="301"/>
      <c r="P30" s="301"/>
      <c r="Q30" s="301"/>
      <c r="R30" s="301"/>
      <c r="S30" s="301"/>
      <c r="T30" s="301"/>
      <c r="U30" s="301"/>
      <c r="V30" s="301"/>
      <c r="W30" s="301"/>
      <c r="X30" s="301"/>
      <c r="Y30" s="301"/>
      <c r="Z30" s="302"/>
      <c r="AA30" s="315"/>
      <c r="AB30" s="316"/>
      <c r="AC30" s="316"/>
      <c r="AD30" s="317"/>
      <c r="AJ30" s="65"/>
      <c r="AK30" s="65"/>
    </row>
    <row r="31" spans="1:37" s="59" customFormat="1" ht="12" thickBot="1" x14ac:dyDescent="0.25">
      <c r="A31" s="303"/>
      <c r="B31" s="304"/>
      <c r="C31" s="305"/>
      <c r="D31" s="300" t="s">
        <v>166</v>
      </c>
      <c r="E31" s="301"/>
      <c r="F31" s="301"/>
      <c r="G31" s="301"/>
      <c r="H31" s="301"/>
      <c r="I31" s="301"/>
      <c r="J31" s="301"/>
      <c r="K31" s="301"/>
      <c r="L31" s="301"/>
      <c r="M31" s="301"/>
      <c r="N31" s="301"/>
      <c r="O31" s="301"/>
      <c r="P31" s="301"/>
      <c r="Q31" s="301"/>
      <c r="R31" s="301"/>
      <c r="S31" s="301"/>
      <c r="T31" s="301"/>
      <c r="U31" s="301"/>
      <c r="V31" s="301"/>
      <c r="W31" s="301"/>
      <c r="X31" s="301"/>
      <c r="Y31" s="301"/>
      <c r="Z31" s="302"/>
      <c r="AA31" s="325"/>
      <c r="AB31" s="326"/>
      <c r="AC31" s="327"/>
      <c r="AD31" s="328"/>
      <c r="AE31" s="233" t="s">
        <v>143</v>
      </c>
      <c r="AF31" s="233"/>
      <c r="AG31" s="233"/>
      <c r="AH31" s="234"/>
      <c r="AJ31" s="112">
        <f>COUNTIF(AA31:AD31,"x")</f>
        <v>0</v>
      </c>
      <c r="AK31" s="112">
        <v>1</v>
      </c>
    </row>
    <row r="32" spans="1:37" s="59" customFormat="1" ht="11.25" x14ac:dyDescent="0.2">
      <c r="A32" s="303"/>
      <c r="B32" s="304"/>
      <c r="C32" s="305"/>
      <c r="D32" s="300" t="s">
        <v>167</v>
      </c>
      <c r="E32" s="301"/>
      <c r="F32" s="301"/>
      <c r="G32" s="301"/>
      <c r="H32" s="301"/>
      <c r="I32" s="301"/>
      <c r="J32" s="301"/>
      <c r="K32" s="301"/>
      <c r="L32" s="301"/>
      <c r="M32" s="301"/>
      <c r="N32" s="301"/>
      <c r="O32" s="301"/>
      <c r="P32" s="301"/>
      <c r="Q32" s="301"/>
      <c r="R32" s="301"/>
      <c r="S32" s="301"/>
      <c r="T32" s="301"/>
      <c r="U32" s="301"/>
      <c r="V32" s="301"/>
      <c r="W32" s="301"/>
      <c r="X32" s="301"/>
      <c r="Y32" s="301"/>
      <c r="Z32" s="302"/>
      <c r="AA32" s="315"/>
      <c r="AB32" s="316"/>
      <c r="AC32" s="316"/>
      <c r="AD32" s="317"/>
      <c r="AJ32" s="65"/>
      <c r="AK32" s="65"/>
    </row>
    <row r="33" spans="1:37" s="59" customFormat="1" ht="11.25" x14ac:dyDescent="0.2">
      <c r="A33" s="303"/>
      <c r="B33" s="304"/>
      <c r="C33" s="305"/>
      <c r="D33" s="300" t="s">
        <v>168</v>
      </c>
      <c r="E33" s="301"/>
      <c r="F33" s="301"/>
      <c r="G33" s="301"/>
      <c r="H33" s="301"/>
      <c r="I33" s="301"/>
      <c r="J33" s="301"/>
      <c r="K33" s="301"/>
      <c r="L33" s="301"/>
      <c r="M33" s="301"/>
      <c r="N33" s="301"/>
      <c r="O33" s="301"/>
      <c r="P33" s="301"/>
      <c r="Q33" s="301"/>
      <c r="R33" s="301"/>
      <c r="S33" s="301"/>
      <c r="T33" s="301"/>
      <c r="U33" s="301"/>
      <c r="V33" s="301"/>
      <c r="W33" s="301"/>
      <c r="X33" s="301"/>
      <c r="Y33" s="301"/>
      <c r="Z33" s="302"/>
      <c r="AA33" s="315"/>
      <c r="AB33" s="316"/>
      <c r="AC33" s="316"/>
      <c r="AD33" s="317"/>
      <c r="AJ33" s="65"/>
      <c r="AK33" s="65"/>
    </row>
    <row r="34" spans="1:37" s="59" customFormat="1" ht="12" thickBot="1" x14ac:dyDescent="0.25">
      <c r="A34" s="303"/>
      <c r="B34" s="304"/>
      <c r="C34" s="305"/>
      <c r="D34" s="300" t="s">
        <v>169</v>
      </c>
      <c r="E34" s="301"/>
      <c r="F34" s="301"/>
      <c r="G34" s="301"/>
      <c r="H34" s="301"/>
      <c r="I34" s="301"/>
      <c r="J34" s="301"/>
      <c r="K34" s="301"/>
      <c r="L34" s="301"/>
      <c r="M34" s="301"/>
      <c r="N34" s="301"/>
      <c r="O34" s="301"/>
      <c r="P34" s="301"/>
      <c r="Q34" s="301"/>
      <c r="R34" s="301"/>
      <c r="S34" s="301"/>
      <c r="T34" s="301"/>
      <c r="U34" s="301"/>
      <c r="V34" s="301"/>
      <c r="W34" s="301"/>
      <c r="X34" s="301"/>
      <c r="Y34" s="301"/>
      <c r="Z34" s="302"/>
      <c r="AA34" s="318"/>
      <c r="AB34" s="319"/>
      <c r="AC34" s="320"/>
      <c r="AD34" s="321"/>
      <c r="AJ34" s="65"/>
      <c r="AK34" s="65"/>
    </row>
    <row r="35" spans="1:37" s="59" customFormat="1" ht="11.25" x14ac:dyDescent="0.2">
      <c r="A35" s="303"/>
      <c r="B35" s="304"/>
      <c r="C35" s="305"/>
      <c r="D35" s="300" t="s">
        <v>170</v>
      </c>
      <c r="E35" s="301"/>
      <c r="F35" s="301"/>
      <c r="G35" s="301"/>
      <c r="H35" s="301"/>
      <c r="I35" s="301"/>
      <c r="J35" s="301"/>
      <c r="K35" s="301"/>
      <c r="L35" s="301"/>
      <c r="M35" s="301"/>
      <c r="N35" s="301"/>
      <c r="O35" s="301"/>
      <c r="P35" s="301"/>
      <c r="Q35" s="301"/>
      <c r="R35" s="301"/>
      <c r="S35" s="301"/>
      <c r="T35" s="301"/>
      <c r="U35" s="301"/>
      <c r="V35" s="301"/>
      <c r="W35" s="301"/>
      <c r="X35" s="301"/>
      <c r="Y35" s="301"/>
      <c r="Z35" s="302"/>
      <c r="AA35" s="329"/>
      <c r="AB35" s="330"/>
      <c r="AC35" s="330"/>
      <c r="AD35" s="331"/>
      <c r="AJ35" s="65"/>
      <c r="AK35" s="65"/>
    </row>
    <row r="36" spans="1:37" s="59" customFormat="1" ht="11.25" x14ac:dyDescent="0.2">
      <c r="A36" s="288"/>
      <c r="B36" s="289"/>
      <c r="C36" s="290"/>
      <c r="D36" s="285" t="s">
        <v>171</v>
      </c>
      <c r="E36" s="286"/>
      <c r="F36" s="286"/>
      <c r="G36" s="286"/>
      <c r="H36" s="286"/>
      <c r="I36" s="286"/>
      <c r="J36" s="286"/>
      <c r="K36" s="286"/>
      <c r="L36" s="286"/>
      <c r="M36" s="286"/>
      <c r="N36" s="286"/>
      <c r="O36" s="286"/>
      <c r="P36" s="286"/>
      <c r="Q36" s="286"/>
      <c r="R36" s="286"/>
      <c r="S36" s="286"/>
      <c r="T36" s="286"/>
      <c r="U36" s="286"/>
      <c r="V36" s="286"/>
      <c r="W36" s="286"/>
      <c r="X36" s="286"/>
      <c r="Y36" s="286"/>
      <c r="Z36" s="287"/>
      <c r="AA36" s="315"/>
      <c r="AB36" s="316"/>
      <c r="AC36" s="316"/>
      <c r="AD36" s="317"/>
      <c r="AJ36" s="65"/>
      <c r="AK36" s="65"/>
    </row>
    <row r="37" spans="1:37" s="59" customFormat="1" ht="12" thickBot="1" x14ac:dyDescent="0.25">
      <c r="A37" s="294"/>
      <c r="B37" s="295"/>
      <c r="C37" s="296"/>
      <c r="D37" s="346" t="s">
        <v>172</v>
      </c>
      <c r="E37" s="347"/>
      <c r="F37" s="347"/>
      <c r="G37" s="347"/>
      <c r="H37" s="347"/>
      <c r="I37" s="347"/>
      <c r="J37" s="347"/>
      <c r="K37" s="347"/>
      <c r="L37" s="347"/>
      <c r="M37" s="347"/>
      <c r="N37" s="347"/>
      <c r="O37" s="347"/>
      <c r="P37" s="347"/>
      <c r="Q37" s="347"/>
      <c r="R37" s="347"/>
      <c r="S37" s="347"/>
      <c r="T37" s="347"/>
      <c r="U37" s="347"/>
      <c r="V37" s="347"/>
      <c r="W37" s="347"/>
      <c r="X37" s="347"/>
      <c r="Y37" s="347"/>
      <c r="Z37" s="348"/>
      <c r="AA37" s="340"/>
      <c r="AB37" s="341"/>
      <c r="AC37" s="341"/>
      <c r="AD37" s="342"/>
      <c r="AJ37" s="65"/>
      <c r="AK37" s="65"/>
    </row>
    <row r="38" spans="1:37" s="59" customFormat="1" ht="11.25" x14ac:dyDescent="0.2">
      <c r="A38" s="240" t="s">
        <v>155</v>
      </c>
      <c r="B38" s="241"/>
      <c r="C38" s="242"/>
      <c r="D38" s="249" t="s">
        <v>173</v>
      </c>
      <c r="E38" s="250"/>
      <c r="F38" s="250"/>
      <c r="G38" s="250"/>
      <c r="H38" s="250"/>
      <c r="I38" s="250"/>
      <c r="J38" s="250"/>
      <c r="K38" s="250"/>
      <c r="L38" s="250"/>
      <c r="M38" s="250"/>
      <c r="N38" s="250"/>
      <c r="O38" s="250"/>
      <c r="P38" s="250"/>
      <c r="Q38" s="250"/>
      <c r="R38" s="250"/>
      <c r="S38" s="250"/>
      <c r="T38" s="250"/>
      <c r="U38" s="250"/>
      <c r="V38" s="250"/>
      <c r="W38" s="250"/>
      <c r="X38" s="250"/>
      <c r="Y38" s="250"/>
      <c r="Z38" s="251"/>
      <c r="AA38" s="329"/>
      <c r="AB38" s="330"/>
      <c r="AC38" s="330"/>
      <c r="AD38" s="331"/>
      <c r="AJ38" s="65"/>
      <c r="AK38" s="65"/>
    </row>
    <row r="39" spans="1:37" s="59" customFormat="1" ht="12" thickBot="1" x14ac:dyDescent="0.25">
      <c r="A39" s="343"/>
      <c r="B39" s="344"/>
      <c r="C39" s="345"/>
      <c r="D39" s="300" t="s">
        <v>174</v>
      </c>
      <c r="E39" s="301"/>
      <c r="F39" s="301"/>
      <c r="G39" s="301"/>
      <c r="H39" s="301"/>
      <c r="I39" s="301"/>
      <c r="J39" s="301"/>
      <c r="K39" s="301"/>
      <c r="L39" s="301"/>
      <c r="M39" s="301"/>
      <c r="N39" s="301"/>
      <c r="O39" s="301"/>
      <c r="P39" s="301"/>
      <c r="Q39" s="301"/>
      <c r="R39" s="301"/>
      <c r="S39" s="301"/>
      <c r="T39" s="301"/>
      <c r="U39" s="301"/>
      <c r="V39" s="301"/>
      <c r="W39" s="301"/>
      <c r="X39" s="301"/>
      <c r="Y39" s="301"/>
      <c r="Z39" s="302"/>
      <c r="AA39" s="315"/>
      <c r="AB39" s="316"/>
      <c r="AC39" s="316"/>
      <c r="AD39" s="317"/>
      <c r="AJ39" s="65"/>
      <c r="AK39" s="65"/>
    </row>
    <row r="40" spans="1:37" s="59" customFormat="1" ht="11.25" x14ac:dyDescent="0.2">
      <c r="A40" s="355"/>
      <c r="B40" s="356"/>
      <c r="C40" s="357"/>
      <c r="D40" s="252" t="s">
        <v>175</v>
      </c>
      <c r="E40" s="253"/>
      <c r="F40" s="253"/>
      <c r="G40" s="253"/>
      <c r="H40" s="253"/>
      <c r="I40" s="253"/>
      <c r="J40" s="253"/>
      <c r="K40" s="253"/>
      <c r="L40" s="253"/>
      <c r="M40" s="253"/>
      <c r="N40" s="253"/>
      <c r="O40" s="253"/>
      <c r="P40" s="253"/>
      <c r="Q40" s="253"/>
      <c r="R40" s="253"/>
      <c r="S40" s="253"/>
      <c r="T40" s="253"/>
      <c r="U40" s="253"/>
      <c r="V40" s="253"/>
      <c r="W40" s="253"/>
      <c r="X40" s="253"/>
      <c r="Y40" s="253"/>
      <c r="Z40" s="254"/>
      <c r="AA40" s="332"/>
      <c r="AB40" s="333"/>
      <c r="AC40" s="336"/>
      <c r="AD40" s="337"/>
      <c r="AE40" s="236" t="s">
        <v>143</v>
      </c>
      <c r="AF40" s="236"/>
      <c r="AG40" s="236"/>
      <c r="AH40" s="237"/>
      <c r="AJ40" s="65">
        <f>COUNTIF(AA40:AD40,"x")</f>
        <v>0</v>
      </c>
      <c r="AK40" s="65">
        <v>1</v>
      </c>
    </row>
    <row r="41" spans="1:37" s="59" customFormat="1" ht="11.25" x14ac:dyDescent="0.2">
      <c r="A41" s="291"/>
      <c r="B41" s="292"/>
      <c r="C41" s="293"/>
      <c r="D41" s="288" t="s">
        <v>176</v>
      </c>
      <c r="E41" s="289"/>
      <c r="F41" s="289"/>
      <c r="G41" s="289"/>
      <c r="H41" s="289"/>
      <c r="I41" s="289"/>
      <c r="J41" s="289"/>
      <c r="K41" s="289"/>
      <c r="L41" s="289"/>
      <c r="M41" s="289"/>
      <c r="N41" s="289"/>
      <c r="O41" s="289"/>
      <c r="P41" s="289"/>
      <c r="Q41" s="289"/>
      <c r="R41" s="289"/>
      <c r="S41" s="289"/>
      <c r="T41" s="289"/>
      <c r="U41" s="289"/>
      <c r="V41" s="289"/>
      <c r="W41" s="289"/>
      <c r="X41" s="289"/>
      <c r="Y41" s="289"/>
      <c r="Z41" s="290"/>
      <c r="AA41" s="332"/>
      <c r="AB41" s="333"/>
      <c r="AC41" s="336"/>
      <c r="AD41" s="337"/>
      <c r="AE41" s="306"/>
      <c r="AF41" s="306"/>
      <c r="AG41" s="306"/>
      <c r="AH41" s="307"/>
      <c r="AJ41" s="65"/>
      <c r="AK41" s="65"/>
    </row>
    <row r="42" spans="1:37" s="59" customFormat="1" ht="11.25" x14ac:dyDescent="0.2">
      <c r="A42" s="291"/>
      <c r="B42" s="292"/>
      <c r="C42" s="293"/>
      <c r="D42" s="288" t="s">
        <v>177</v>
      </c>
      <c r="E42" s="289"/>
      <c r="F42" s="289"/>
      <c r="G42" s="289"/>
      <c r="H42" s="289"/>
      <c r="I42" s="289"/>
      <c r="J42" s="289"/>
      <c r="K42" s="289"/>
      <c r="L42" s="289"/>
      <c r="M42" s="289"/>
      <c r="N42" s="289"/>
      <c r="O42" s="289"/>
      <c r="P42" s="289"/>
      <c r="Q42" s="289"/>
      <c r="R42" s="289"/>
      <c r="S42" s="289"/>
      <c r="T42" s="289"/>
      <c r="U42" s="289"/>
      <c r="V42" s="289"/>
      <c r="W42" s="289"/>
      <c r="X42" s="289"/>
      <c r="Y42" s="289"/>
      <c r="Z42" s="290"/>
      <c r="AA42" s="332"/>
      <c r="AB42" s="333"/>
      <c r="AC42" s="336"/>
      <c r="AD42" s="337"/>
      <c r="AE42" s="306"/>
      <c r="AF42" s="306"/>
      <c r="AG42" s="306"/>
      <c r="AH42" s="307"/>
      <c r="AJ42" s="65"/>
      <c r="AK42" s="65"/>
    </row>
    <row r="43" spans="1:37" s="59" customFormat="1" ht="12" thickBot="1" x14ac:dyDescent="0.25">
      <c r="A43" s="294"/>
      <c r="B43" s="295"/>
      <c r="C43" s="296"/>
      <c r="D43" s="258" t="s">
        <v>178</v>
      </c>
      <c r="E43" s="259"/>
      <c r="F43" s="259"/>
      <c r="G43" s="259"/>
      <c r="H43" s="259"/>
      <c r="I43" s="259"/>
      <c r="J43" s="259"/>
      <c r="K43" s="259"/>
      <c r="L43" s="259"/>
      <c r="M43" s="259"/>
      <c r="N43" s="259"/>
      <c r="O43" s="259"/>
      <c r="P43" s="259"/>
      <c r="Q43" s="259"/>
      <c r="R43" s="259"/>
      <c r="S43" s="259"/>
      <c r="T43" s="259"/>
      <c r="U43" s="259"/>
      <c r="V43" s="259"/>
      <c r="W43" s="259"/>
      <c r="X43" s="259"/>
      <c r="Y43" s="259"/>
      <c r="Z43" s="260"/>
      <c r="AA43" s="334"/>
      <c r="AB43" s="335"/>
      <c r="AC43" s="338"/>
      <c r="AD43" s="339"/>
      <c r="AE43" s="238"/>
      <c r="AF43" s="238"/>
      <c r="AG43" s="238"/>
      <c r="AH43" s="239"/>
      <c r="AJ43" s="65"/>
      <c r="AK43" s="65"/>
    </row>
    <row r="44" spans="1:37" s="59" customFormat="1" ht="12" thickBot="1" x14ac:dyDescent="0.25">
      <c r="A44" s="240" t="s">
        <v>180</v>
      </c>
      <c r="B44" s="241"/>
      <c r="C44" s="242"/>
      <c r="D44" s="249" t="s">
        <v>181</v>
      </c>
      <c r="E44" s="250"/>
      <c r="F44" s="250"/>
      <c r="G44" s="250"/>
      <c r="H44" s="250"/>
      <c r="I44" s="250"/>
      <c r="J44" s="250"/>
      <c r="K44" s="250"/>
      <c r="L44" s="250"/>
      <c r="M44" s="250"/>
      <c r="N44" s="250"/>
      <c r="O44" s="250"/>
      <c r="P44" s="250"/>
      <c r="Q44" s="250"/>
      <c r="R44" s="250"/>
      <c r="S44" s="250"/>
      <c r="T44" s="250"/>
      <c r="U44" s="250"/>
      <c r="V44" s="250"/>
      <c r="W44" s="250"/>
      <c r="X44" s="250"/>
      <c r="Y44" s="250"/>
      <c r="Z44" s="251"/>
      <c r="AA44" s="352"/>
      <c r="AB44" s="353"/>
      <c r="AC44" s="353"/>
      <c r="AD44" s="354"/>
      <c r="AJ44" s="65"/>
      <c r="AK44" s="65"/>
    </row>
    <row r="45" spans="1:37" s="59" customFormat="1" ht="11.25" x14ac:dyDescent="0.2">
      <c r="A45" s="243"/>
      <c r="B45" s="244"/>
      <c r="C45" s="245"/>
      <c r="D45" s="252" t="s">
        <v>182</v>
      </c>
      <c r="E45" s="253"/>
      <c r="F45" s="253"/>
      <c r="G45" s="253"/>
      <c r="H45" s="253"/>
      <c r="I45" s="253"/>
      <c r="J45" s="253"/>
      <c r="K45" s="253"/>
      <c r="L45" s="253"/>
      <c r="M45" s="253"/>
      <c r="N45" s="253"/>
      <c r="O45" s="253"/>
      <c r="P45" s="253"/>
      <c r="Q45" s="253"/>
      <c r="R45" s="253"/>
      <c r="S45" s="253"/>
      <c r="T45" s="253"/>
      <c r="U45" s="253"/>
      <c r="V45" s="253"/>
      <c r="W45" s="253"/>
      <c r="X45" s="253"/>
      <c r="Y45" s="253"/>
      <c r="Z45" s="254"/>
      <c r="AA45" s="349"/>
      <c r="AB45" s="350"/>
      <c r="AC45" s="350"/>
      <c r="AD45" s="351"/>
      <c r="AE45" s="236" t="s">
        <v>179</v>
      </c>
      <c r="AF45" s="236"/>
      <c r="AG45" s="236"/>
      <c r="AH45" s="237"/>
      <c r="AJ45" s="65">
        <f>COUNTIF(AA45:AD45,"x")</f>
        <v>0</v>
      </c>
      <c r="AK45" s="65">
        <v>1</v>
      </c>
    </row>
    <row r="46" spans="1:37" s="59" customFormat="1" ht="12" thickBot="1" x14ac:dyDescent="0.25">
      <c r="A46" s="303"/>
      <c r="B46" s="304"/>
      <c r="C46" s="305"/>
      <c r="D46" s="300" t="s">
        <v>183</v>
      </c>
      <c r="E46" s="301"/>
      <c r="F46" s="301"/>
      <c r="G46" s="301"/>
      <c r="H46" s="301"/>
      <c r="I46" s="301"/>
      <c r="J46" s="301"/>
      <c r="K46" s="301"/>
      <c r="L46" s="301"/>
      <c r="M46" s="301"/>
      <c r="N46" s="301"/>
      <c r="O46" s="301"/>
      <c r="P46" s="301"/>
      <c r="Q46" s="301"/>
      <c r="R46" s="301"/>
      <c r="S46" s="301"/>
      <c r="T46" s="301"/>
      <c r="U46" s="301"/>
      <c r="V46" s="301"/>
      <c r="W46" s="301"/>
      <c r="X46" s="301"/>
      <c r="Y46" s="301"/>
      <c r="Z46" s="302"/>
      <c r="AA46" s="312"/>
      <c r="AB46" s="313"/>
      <c r="AC46" s="313"/>
      <c r="AD46" s="314"/>
      <c r="AE46" s="238"/>
      <c r="AF46" s="238"/>
      <c r="AG46" s="238"/>
      <c r="AH46" s="239"/>
      <c r="AJ46" s="65"/>
      <c r="AK46" s="65"/>
    </row>
    <row r="47" spans="1:37" s="59" customFormat="1" ht="12" thickBot="1" x14ac:dyDescent="0.25">
      <c r="A47" s="303"/>
      <c r="B47" s="304"/>
      <c r="C47" s="305"/>
      <c r="D47" s="300" t="s">
        <v>184</v>
      </c>
      <c r="E47" s="301"/>
      <c r="F47" s="301"/>
      <c r="G47" s="301"/>
      <c r="H47" s="301"/>
      <c r="I47" s="301"/>
      <c r="J47" s="301"/>
      <c r="K47" s="301"/>
      <c r="L47" s="301"/>
      <c r="M47" s="301"/>
      <c r="N47" s="301"/>
      <c r="O47" s="301"/>
      <c r="P47" s="301"/>
      <c r="Q47" s="301"/>
      <c r="R47" s="301"/>
      <c r="S47" s="301"/>
      <c r="T47" s="301"/>
      <c r="U47" s="301"/>
      <c r="V47" s="301"/>
      <c r="W47" s="301"/>
      <c r="X47" s="301"/>
      <c r="Y47" s="301"/>
      <c r="Z47" s="302"/>
      <c r="AA47" s="370"/>
      <c r="AB47" s="371"/>
      <c r="AC47" s="372"/>
      <c r="AD47" s="373"/>
      <c r="AE47" s="233" t="s">
        <v>179</v>
      </c>
      <c r="AF47" s="233"/>
      <c r="AG47" s="233"/>
      <c r="AH47" s="234"/>
      <c r="AJ47" s="65">
        <f>COUNTIF(AA47:AD47,"x")</f>
        <v>0</v>
      </c>
      <c r="AK47" s="65">
        <v>1</v>
      </c>
    </row>
    <row r="48" spans="1:37" s="59" customFormat="1" ht="11.25" x14ac:dyDescent="0.2">
      <c r="A48" s="243"/>
      <c r="B48" s="244"/>
      <c r="C48" s="245"/>
      <c r="D48" s="252" t="s">
        <v>185</v>
      </c>
      <c r="E48" s="253"/>
      <c r="F48" s="253"/>
      <c r="G48" s="253"/>
      <c r="H48" s="253"/>
      <c r="I48" s="253"/>
      <c r="J48" s="253"/>
      <c r="K48" s="253"/>
      <c r="L48" s="253"/>
      <c r="M48" s="253"/>
      <c r="N48" s="253"/>
      <c r="O48" s="253"/>
      <c r="P48" s="253"/>
      <c r="Q48" s="253"/>
      <c r="R48" s="253"/>
      <c r="S48" s="253"/>
      <c r="T48" s="253"/>
      <c r="U48" s="253"/>
      <c r="V48" s="253"/>
      <c r="W48" s="253"/>
      <c r="X48" s="253"/>
      <c r="Y48" s="253"/>
      <c r="Z48" s="254"/>
      <c r="AA48" s="315"/>
      <c r="AB48" s="316"/>
      <c r="AC48" s="316"/>
      <c r="AD48" s="317"/>
      <c r="AJ48" s="65"/>
      <c r="AK48" s="65"/>
    </row>
    <row r="49" spans="1:37" s="59" customFormat="1" ht="12" thickBot="1" x14ac:dyDescent="0.25">
      <c r="A49" s="303"/>
      <c r="B49" s="304"/>
      <c r="C49" s="305"/>
      <c r="D49" s="300" t="s">
        <v>186</v>
      </c>
      <c r="E49" s="301"/>
      <c r="F49" s="301"/>
      <c r="G49" s="301"/>
      <c r="H49" s="301"/>
      <c r="I49" s="301"/>
      <c r="J49" s="301"/>
      <c r="K49" s="301"/>
      <c r="L49" s="301"/>
      <c r="M49" s="301"/>
      <c r="N49" s="301"/>
      <c r="O49" s="301"/>
      <c r="P49" s="301"/>
      <c r="Q49" s="301"/>
      <c r="R49" s="301"/>
      <c r="S49" s="301"/>
      <c r="T49" s="301"/>
      <c r="U49" s="301"/>
      <c r="V49" s="301"/>
      <c r="W49" s="301"/>
      <c r="X49" s="301"/>
      <c r="Y49" s="301"/>
      <c r="Z49" s="302"/>
      <c r="AA49" s="315"/>
      <c r="AB49" s="316"/>
      <c r="AC49" s="316"/>
      <c r="AD49" s="317"/>
      <c r="AJ49" s="65"/>
      <c r="AK49" s="65"/>
    </row>
    <row r="50" spans="1:37" s="59" customFormat="1" ht="12" thickBot="1" x14ac:dyDescent="0.25">
      <c r="A50" s="303"/>
      <c r="B50" s="304"/>
      <c r="C50" s="305"/>
      <c r="D50" s="300" t="s">
        <v>187</v>
      </c>
      <c r="E50" s="301"/>
      <c r="F50" s="301"/>
      <c r="G50" s="301"/>
      <c r="H50" s="301"/>
      <c r="I50" s="301"/>
      <c r="J50" s="301"/>
      <c r="K50" s="301"/>
      <c r="L50" s="301"/>
      <c r="M50" s="301"/>
      <c r="N50" s="301"/>
      <c r="O50" s="301"/>
      <c r="P50" s="301"/>
      <c r="Q50" s="301"/>
      <c r="R50" s="301"/>
      <c r="S50" s="301"/>
      <c r="T50" s="301"/>
      <c r="U50" s="301"/>
      <c r="V50" s="301"/>
      <c r="W50" s="301"/>
      <c r="X50" s="301"/>
      <c r="Y50" s="301"/>
      <c r="Z50" s="302"/>
      <c r="AA50" s="370"/>
      <c r="AB50" s="371"/>
      <c r="AC50" s="372"/>
      <c r="AD50" s="373"/>
      <c r="AE50" s="233" t="s">
        <v>179</v>
      </c>
      <c r="AF50" s="233"/>
      <c r="AG50" s="233"/>
      <c r="AH50" s="234"/>
      <c r="AJ50" s="65">
        <f>COUNTIF(AA50:AD50,"x")</f>
        <v>0</v>
      </c>
      <c r="AK50" s="65">
        <v>1</v>
      </c>
    </row>
    <row r="51" spans="1:37" s="59" customFormat="1" ht="11.25" x14ac:dyDescent="0.2">
      <c r="A51" s="361"/>
      <c r="B51" s="362"/>
      <c r="C51" s="363"/>
      <c r="D51" s="252" t="s">
        <v>188</v>
      </c>
      <c r="E51" s="253"/>
      <c r="F51" s="253"/>
      <c r="G51" s="253"/>
      <c r="H51" s="253"/>
      <c r="I51" s="253"/>
      <c r="J51" s="253"/>
      <c r="K51" s="253"/>
      <c r="L51" s="253"/>
      <c r="M51" s="253"/>
      <c r="N51" s="253"/>
      <c r="O51" s="253"/>
      <c r="P51" s="253"/>
      <c r="Q51" s="253"/>
      <c r="R51" s="253"/>
      <c r="S51" s="253"/>
      <c r="T51" s="253"/>
      <c r="U51" s="253"/>
      <c r="V51" s="253"/>
      <c r="W51" s="253"/>
      <c r="X51" s="253"/>
      <c r="Y51" s="253"/>
      <c r="Z51" s="254"/>
      <c r="AA51" s="315"/>
      <c r="AB51" s="316"/>
      <c r="AC51" s="316"/>
      <c r="AD51" s="317"/>
      <c r="AJ51" s="65"/>
      <c r="AK51" s="65"/>
    </row>
    <row r="52" spans="1:37" s="59" customFormat="1" ht="11.25" x14ac:dyDescent="0.2">
      <c r="A52" s="364"/>
      <c r="B52" s="365"/>
      <c r="C52" s="366"/>
      <c r="D52" s="288" t="s">
        <v>189</v>
      </c>
      <c r="E52" s="289"/>
      <c r="F52" s="289"/>
      <c r="G52" s="289"/>
      <c r="H52" s="289"/>
      <c r="I52" s="289"/>
      <c r="J52" s="289"/>
      <c r="K52" s="289"/>
      <c r="L52" s="289"/>
      <c r="M52" s="289"/>
      <c r="N52" s="289"/>
      <c r="O52" s="289"/>
      <c r="P52" s="289"/>
      <c r="Q52" s="289"/>
      <c r="R52" s="289"/>
      <c r="S52" s="289"/>
      <c r="T52" s="289"/>
      <c r="U52" s="289"/>
      <c r="V52" s="289"/>
      <c r="W52" s="289"/>
      <c r="X52" s="289"/>
      <c r="Y52" s="289"/>
      <c r="Z52" s="290"/>
      <c r="AA52" s="315"/>
      <c r="AB52" s="316"/>
      <c r="AC52" s="316"/>
      <c r="AD52" s="317"/>
      <c r="AJ52" s="65"/>
      <c r="AK52" s="65"/>
    </row>
    <row r="53" spans="1:37" s="59" customFormat="1" ht="12" thickBot="1" x14ac:dyDescent="0.25">
      <c r="A53" s="367"/>
      <c r="B53" s="368"/>
      <c r="C53" s="369"/>
      <c r="D53" s="358" t="s">
        <v>190</v>
      </c>
      <c r="E53" s="359"/>
      <c r="F53" s="359"/>
      <c r="G53" s="359"/>
      <c r="H53" s="359"/>
      <c r="I53" s="359"/>
      <c r="J53" s="359"/>
      <c r="K53" s="359"/>
      <c r="L53" s="359"/>
      <c r="M53" s="359"/>
      <c r="N53" s="359"/>
      <c r="O53" s="359"/>
      <c r="P53" s="359"/>
      <c r="Q53" s="359"/>
      <c r="R53" s="359"/>
      <c r="S53" s="359"/>
      <c r="T53" s="359"/>
      <c r="U53" s="359"/>
      <c r="V53" s="359"/>
      <c r="W53" s="359"/>
      <c r="X53" s="359"/>
      <c r="Y53" s="359"/>
      <c r="Z53" s="360"/>
      <c r="AA53" s="315"/>
      <c r="AB53" s="316"/>
      <c r="AC53" s="316"/>
      <c r="AD53" s="317"/>
      <c r="AJ53" s="65"/>
      <c r="AK53" s="65"/>
    </row>
    <row r="54" spans="1:37" s="59" customFormat="1" ht="11.25" x14ac:dyDescent="0.2">
      <c r="A54" s="243"/>
      <c r="B54" s="244"/>
      <c r="C54" s="245"/>
      <c r="D54" s="252" t="s">
        <v>191</v>
      </c>
      <c r="E54" s="253"/>
      <c r="F54" s="253"/>
      <c r="G54" s="253"/>
      <c r="H54" s="253"/>
      <c r="I54" s="253"/>
      <c r="J54" s="253"/>
      <c r="K54" s="253"/>
      <c r="L54" s="253"/>
      <c r="M54" s="253"/>
      <c r="N54" s="253"/>
      <c r="O54" s="253"/>
      <c r="P54" s="253"/>
      <c r="Q54" s="253"/>
      <c r="R54" s="253"/>
      <c r="S54" s="253"/>
      <c r="T54" s="253"/>
      <c r="U54" s="253"/>
      <c r="V54" s="253"/>
      <c r="W54" s="253"/>
      <c r="X54" s="253"/>
      <c r="Y54" s="253"/>
      <c r="Z54" s="254"/>
      <c r="AA54" s="349"/>
      <c r="AB54" s="350"/>
      <c r="AC54" s="350"/>
      <c r="AD54" s="351"/>
      <c r="AE54" s="236" t="s">
        <v>179</v>
      </c>
      <c r="AF54" s="236"/>
      <c r="AG54" s="236"/>
      <c r="AH54" s="237"/>
      <c r="AJ54" s="65">
        <f>COUNTIF(AA54:AD54,"x")</f>
        <v>0</v>
      </c>
      <c r="AK54" s="65">
        <v>1</v>
      </c>
    </row>
    <row r="55" spans="1:37" s="59" customFormat="1" ht="12" thickBot="1" x14ac:dyDescent="0.25">
      <c r="A55" s="303"/>
      <c r="B55" s="304"/>
      <c r="C55" s="305"/>
      <c r="D55" s="300" t="s">
        <v>192</v>
      </c>
      <c r="E55" s="301"/>
      <c r="F55" s="301"/>
      <c r="G55" s="301"/>
      <c r="H55" s="301"/>
      <c r="I55" s="301"/>
      <c r="J55" s="301"/>
      <c r="K55" s="301"/>
      <c r="L55" s="301"/>
      <c r="M55" s="301"/>
      <c r="N55" s="301"/>
      <c r="O55" s="301"/>
      <c r="P55" s="301"/>
      <c r="Q55" s="301"/>
      <c r="R55" s="301"/>
      <c r="S55" s="301"/>
      <c r="T55" s="301"/>
      <c r="U55" s="301"/>
      <c r="V55" s="301"/>
      <c r="W55" s="301"/>
      <c r="X55" s="301"/>
      <c r="Y55" s="301"/>
      <c r="Z55" s="302"/>
      <c r="AA55" s="312"/>
      <c r="AB55" s="313"/>
      <c r="AC55" s="313"/>
      <c r="AD55" s="314"/>
      <c r="AE55" s="238"/>
      <c r="AF55" s="238"/>
      <c r="AG55" s="238"/>
      <c r="AH55" s="239"/>
      <c r="AJ55" s="65">
        <f>SUM(AJ9:AJ54)</f>
        <v>0</v>
      </c>
      <c r="AK55" s="65">
        <f>SUM(AK9:AK54)</f>
        <v>14</v>
      </c>
    </row>
    <row r="56" spans="1:37" s="59" customFormat="1" ht="12" thickBot="1" x14ac:dyDescent="0.25">
      <c r="A56" s="246"/>
      <c r="B56" s="247"/>
      <c r="C56" s="248"/>
      <c r="D56" s="255" t="s">
        <v>193</v>
      </c>
      <c r="E56" s="256"/>
      <c r="F56" s="256"/>
      <c r="G56" s="256"/>
      <c r="H56" s="256"/>
      <c r="I56" s="256"/>
      <c r="J56" s="256"/>
      <c r="K56" s="256"/>
      <c r="L56" s="256"/>
      <c r="M56" s="256"/>
      <c r="N56" s="256"/>
      <c r="O56" s="256"/>
      <c r="P56" s="256"/>
      <c r="Q56" s="256"/>
      <c r="R56" s="256"/>
      <c r="S56" s="256"/>
      <c r="T56" s="256"/>
      <c r="U56" s="256"/>
      <c r="V56" s="256"/>
      <c r="W56" s="256"/>
      <c r="X56" s="256"/>
      <c r="Y56" s="256"/>
      <c r="Z56" s="257"/>
      <c r="AA56" s="374"/>
      <c r="AB56" s="375"/>
      <c r="AC56" s="375"/>
      <c r="AD56" s="376"/>
      <c r="AJ56" s="377">
        <f>IF(AJ55=AK55,10,0)</f>
        <v>0</v>
      </c>
      <c r="AK56" s="377"/>
    </row>
    <row r="57" spans="1:37" s="59" customFormat="1" ht="11.25" x14ac:dyDescent="0.2">
      <c r="A57" s="240" t="s">
        <v>194</v>
      </c>
      <c r="B57" s="241"/>
      <c r="C57" s="242"/>
      <c r="D57" s="249" t="s">
        <v>195</v>
      </c>
      <c r="E57" s="250"/>
      <c r="F57" s="250"/>
      <c r="G57" s="250"/>
      <c r="H57" s="250"/>
      <c r="I57" s="250"/>
      <c r="J57" s="250"/>
      <c r="K57" s="250"/>
      <c r="L57" s="250"/>
      <c r="M57" s="250"/>
      <c r="N57" s="250"/>
      <c r="O57" s="250"/>
      <c r="P57" s="250"/>
      <c r="Q57" s="250"/>
      <c r="R57" s="250"/>
      <c r="S57" s="250"/>
      <c r="T57" s="250"/>
      <c r="U57" s="250"/>
      <c r="V57" s="250"/>
      <c r="W57" s="250"/>
      <c r="X57" s="250"/>
      <c r="Y57" s="250"/>
      <c r="Z57" s="251"/>
      <c r="AA57" s="329"/>
      <c r="AB57" s="330"/>
      <c r="AC57" s="330"/>
      <c r="AD57" s="331"/>
    </row>
    <row r="58" spans="1:37" s="59" customFormat="1" ht="11.25" x14ac:dyDescent="0.2">
      <c r="A58" s="303"/>
      <c r="B58" s="304"/>
      <c r="C58" s="305"/>
      <c r="D58" s="300" t="s">
        <v>196</v>
      </c>
      <c r="E58" s="301"/>
      <c r="F58" s="301"/>
      <c r="G58" s="301"/>
      <c r="H58" s="301"/>
      <c r="I58" s="301"/>
      <c r="J58" s="301"/>
      <c r="K58" s="301"/>
      <c r="L58" s="301"/>
      <c r="M58" s="301"/>
      <c r="N58" s="301"/>
      <c r="O58" s="301"/>
      <c r="P58" s="301"/>
      <c r="Q58" s="301"/>
      <c r="R58" s="301"/>
      <c r="S58" s="301"/>
      <c r="T58" s="301"/>
      <c r="U58" s="301"/>
      <c r="V58" s="301"/>
      <c r="W58" s="301"/>
      <c r="X58" s="301"/>
      <c r="Y58" s="301"/>
      <c r="Z58" s="302"/>
      <c r="AA58" s="315"/>
      <c r="AB58" s="316"/>
      <c r="AC58" s="316"/>
      <c r="AD58" s="317"/>
    </row>
    <row r="59" spans="1:37" s="59" customFormat="1" ht="12" thickBot="1" x14ac:dyDescent="0.25">
      <c r="A59" s="294"/>
      <c r="B59" s="295"/>
      <c r="C59" s="296"/>
      <c r="D59" s="346" t="s">
        <v>197</v>
      </c>
      <c r="E59" s="347"/>
      <c r="F59" s="347"/>
      <c r="G59" s="347"/>
      <c r="H59" s="347"/>
      <c r="I59" s="347"/>
      <c r="J59" s="347"/>
      <c r="K59" s="347"/>
      <c r="L59" s="347"/>
      <c r="M59" s="347"/>
      <c r="N59" s="347"/>
      <c r="O59" s="347"/>
      <c r="P59" s="347"/>
      <c r="Q59" s="347"/>
      <c r="R59" s="347"/>
      <c r="S59" s="347"/>
      <c r="T59" s="347"/>
      <c r="U59" s="347"/>
      <c r="V59" s="347"/>
      <c r="W59" s="347"/>
      <c r="X59" s="347"/>
      <c r="Y59" s="347"/>
      <c r="Z59" s="348"/>
      <c r="AA59" s="340"/>
      <c r="AB59" s="341"/>
      <c r="AC59" s="341"/>
      <c r="AD59" s="342"/>
    </row>
    <row r="62" spans="1:37" x14ac:dyDescent="0.25">
      <c r="D62" s="378" t="s">
        <v>200</v>
      </c>
      <c r="E62" s="378"/>
      <c r="F62" s="378"/>
      <c r="G62" s="378"/>
      <c r="H62" s="378"/>
      <c r="I62" s="378"/>
      <c r="J62" s="378"/>
      <c r="K62" s="378"/>
      <c r="L62" s="378"/>
      <c r="M62" s="378"/>
      <c r="N62" s="378"/>
      <c r="O62" s="378"/>
      <c r="P62" s="378"/>
      <c r="Q62" s="378"/>
      <c r="R62" s="378"/>
      <c r="S62" s="378"/>
      <c r="T62" s="378"/>
      <c r="U62" s="378"/>
      <c r="V62" s="378"/>
      <c r="W62" s="378"/>
      <c r="X62" s="378"/>
      <c r="Y62" s="378"/>
      <c r="Z62" s="378"/>
      <c r="AA62" s="378"/>
      <c r="AB62" s="378"/>
      <c r="AC62" s="378"/>
      <c r="AD62" s="378"/>
    </row>
  </sheetData>
  <sheetProtection sheet="1" objects="1" scenarios="1" selectLockedCells="1"/>
  <mergeCells count="177">
    <mergeCell ref="AE31:AH31"/>
    <mergeCell ref="AJ56:AK56"/>
    <mergeCell ref="AA5:AH5"/>
    <mergeCell ref="A4:H4"/>
    <mergeCell ref="J4:M4"/>
    <mergeCell ref="V4:Y4"/>
    <mergeCell ref="AA4:AH4"/>
    <mergeCell ref="D62:AD62"/>
    <mergeCell ref="A1:M1"/>
    <mergeCell ref="O4:T4"/>
    <mergeCell ref="O5:T5"/>
    <mergeCell ref="J5:M5"/>
    <mergeCell ref="V5:Y5"/>
    <mergeCell ref="A5:H5"/>
    <mergeCell ref="A59:C59"/>
    <mergeCell ref="D59:Z59"/>
    <mergeCell ref="AA57:AD59"/>
    <mergeCell ref="A6:AH6"/>
    <mergeCell ref="O1:T2"/>
    <mergeCell ref="O3:T3"/>
    <mergeCell ref="A2:M2"/>
    <mergeCell ref="V2:AH2"/>
    <mergeCell ref="V1:AH1"/>
    <mergeCell ref="A56:C56"/>
    <mergeCell ref="D56:Z56"/>
    <mergeCell ref="AA56:AD56"/>
    <mergeCell ref="A57:C57"/>
    <mergeCell ref="D57:Z57"/>
    <mergeCell ref="A58:C58"/>
    <mergeCell ref="D58:Z58"/>
    <mergeCell ref="A54:C54"/>
    <mergeCell ref="D54:Z54"/>
    <mergeCell ref="AA54:AB55"/>
    <mergeCell ref="AC54:AD55"/>
    <mergeCell ref="AE54:AH54"/>
    <mergeCell ref="A55:C55"/>
    <mergeCell ref="D55:Z55"/>
    <mergeCell ref="AE55:AH55"/>
    <mergeCell ref="AE45:AH45"/>
    <mergeCell ref="AE46:AH46"/>
    <mergeCell ref="D51:Z51"/>
    <mergeCell ref="D52:Z52"/>
    <mergeCell ref="D53:Z53"/>
    <mergeCell ref="A51:C53"/>
    <mergeCell ref="AA51:AD53"/>
    <mergeCell ref="A49:C49"/>
    <mergeCell ref="D49:Z49"/>
    <mergeCell ref="AA48:AD49"/>
    <mergeCell ref="AE47:AH47"/>
    <mergeCell ref="A50:C50"/>
    <mergeCell ref="D50:Z50"/>
    <mergeCell ref="AA50:AB50"/>
    <mergeCell ref="AC50:AD50"/>
    <mergeCell ref="AE50:AH50"/>
    <mergeCell ref="A47:C47"/>
    <mergeCell ref="D47:Z47"/>
    <mergeCell ref="AA47:AB47"/>
    <mergeCell ref="AC47:AD47"/>
    <mergeCell ref="A48:C48"/>
    <mergeCell ref="D48:Z48"/>
    <mergeCell ref="D45:Z45"/>
    <mergeCell ref="D46:Z46"/>
    <mergeCell ref="A45:C45"/>
    <mergeCell ref="A46:C46"/>
    <mergeCell ref="AA45:AB46"/>
    <mergeCell ref="AC45:AD46"/>
    <mergeCell ref="AE40:AH40"/>
    <mergeCell ref="AE41:AH41"/>
    <mergeCell ref="AE43:AH43"/>
    <mergeCell ref="AE42:AH42"/>
    <mergeCell ref="A44:C44"/>
    <mergeCell ref="D44:Z44"/>
    <mergeCell ref="AA44:AB44"/>
    <mergeCell ref="AC44:AD44"/>
    <mergeCell ref="D41:Z41"/>
    <mergeCell ref="D42:Z42"/>
    <mergeCell ref="D43:Z43"/>
    <mergeCell ref="A40:C43"/>
    <mergeCell ref="AA38:AD39"/>
    <mergeCell ref="AA40:AB43"/>
    <mergeCell ref="AC40:AD43"/>
    <mergeCell ref="AA35:AD37"/>
    <mergeCell ref="A38:C38"/>
    <mergeCell ref="D38:Z38"/>
    <mergeCell ref="A39:C39"/>
    <mergeCell ref="D39:Z39"/>
    <mergeCell ref="D40:Z40"/>
    <mergeCell ref="A35:C35"/>
    <mergeCell ref="D35:Z35"/>
    <mergeCell ref="A36:C36"/>
    <mergeCell ref="D36:Z36"/>
    <mergeCell ref="A37:C37"/>
    <mergeCell ref="D37:Z37"/>
    <mergeCell ref="A33:C33"/>
    <mergeCell ref="D33:Z33"/>
    <mergeCell ref="AA32:AD33"/>
    <mergeCell ref="A34:C34"/>
    <mergeCell ref="D34:Z34"/>
    <mergeCell ref="AA34:AB34"/>
    <mergeCell ref="AC34:AD34"/>
    <mergeCell ref="AA28:AD30"/>
    <mergeCell ref="A31:C31"/>
    <mergeCell ref="D31:Z31"/>
    <mergeCell ref="AA31:AB31"/>
    <mergeCell ref="AC31:AD31"/>
    <mergeCell ref="A32:C32"/>
    <mergeCell ref="D32:Z32"/>
    <mergeCell ref="D27:Z27"/>
    <mergeCell ref="A28:C28"/>
    <mergeCell ref="D28:Z28"/>
    <mergeCell ref="A29:C29"/>
    <mergeCell ref="D29:Z29"/>
    <mergeCell ref="A30:C30"/>
    <mergeCell ref="D30:Z30"/>
    <mergeCell ref="AE22:AH22"/>
    <mergeCell ref="AE24:AH24"/>
    <mergeCell ref="AE23:AH23"/>
    <mergeCell ref="A25:C25"/>
    <mergeCell ref="D25:Z25"/>
    <mergeCell ref="AA25:AB27"/>
    <mergeCell ref="AC25:AD27"/>
    <mergeCell ref="A26:C26"/>
    <mergeCell ref="D26:Z26"/>
    <mergeCell ref="A27:C27"/>
    <mergeCell ref="A22:C22"/>
    <mergeCell ref="A23:C23"/>
    <mergeCell ref="A24:C24"/>
    <mergeCell ref="D22:Z22"/>
    <mergeCell ref="D23:Z23"/>
    <mergeCell ref="D24:Z24"/>
    <mergeCell ref="AA22:AB24"/>
    <mergeCell ref="AA14:AB14"/>
    <mergeCell ref="AC14:AD14"/>
    <mergeCell ref="AC22:AD24"/>
    <mergeCell ref="D16:Z16"/>
    <mergeCell ref="D17:Z17"/>
    <mergeCell ref="D18:Z18"/>
    <mergeCell ref="D19:Z19"/>
    <mergeCell ref="A16:C21"/>
    <mergeCell ref="E20:Z20"/>
    <mergeCell ref="E21:Z21"/>
    <mergeCell ref="AA15:AB15"/>
    <mergeCell ref="AC15:AD15"/>
    <mergeCell ref="AE10:AH10"/>
    <mergeCell ref="AE11:AH11"/>
    <mergeCell ref="A12:C12"/>
    <mergeCell ref="A13:C13"/>
    <mergeCell ref="A14:C14"/>
    <mergeCell ref="A15:C15"/>
    <mergeCell ref="D12:Z12"/>
    <mergeCell ref="D13:Z13"/>
    <mergeCell ref="D14:Z14"/>
    <mergeCell ref="D15:Z15"/>
    <mergeCell ref="A10:C10"/>
    <mergeCell ref="A11:C11"/>
    <mergeCell ref="D10:Z10"/>
    <mergeCell ref="D11:Z11"/>
    <mergeCell ref="AA10:AB11"/>
    <mergeCell ref="AC10:AD11"/>
    <mergeCell ref="AE12:AH12"/>
    <mergeCell ref="AE13:AH13"/>
    <mergeCell ref="AE14:AH14"/>
    <mergeCell ref="AE15:AH15"/>
    <mergeCell ref="AA12:AB12"/>
    <mergeCell ref="AC12:AD12"/>
    <mergeCell ref="AA13:AB13"/>
    <mergeCell ref="AC13:AD13"/>
    <mergeCell ref="AA8:AB8"/>
    <mergeCell ref="AA9:AB9"/>
    <mergeCell ref="AC9:AD9"/>
    <mergeCell ref="D8:Z8"/>
    <mergeCell ref="A9:C9"/>
    <mergeCell ref="D9:Z9"/>
    <mergeCell ref="A7:AH7"/>
    <mergeCell ref="AE9:AH9"/>
    <mergeCell ref="A8:C8"/>
    <mergeCell ref="AC8:AD8"/>
  </mergeCells>
  <conditionalFormatting sqref="V4:Y4 J4:M4">
    <cfRule type="cellIs" dxfId="119" priority="28" operator="equal">
      <formula>0</formula>
    </cfRule>
  </conditionalFormatting>
  <conditionalFormatting sqref="AA9:AD9">
    <cfRule type="expression" dxfId="118" priority="27">
      <formula>$AJ$9=0</formula>
    </cfRule>
  </conditionalFormatting>
  <conditionalFormatting sqref="AA10:AD11">
    <cfRule type="expression" dxfId="117" priority="26">
      <formula>$AJ$10=0</formula>
    </cfRule>
  </conditionalFormatting>
  <conditionalFormatting sqref="AA12:AD12">
    <cfRule type="expression" dxfId="116" priority="25">
      <formula>$AJ$12=0</formula>
    </cfRule>
  </conditionalFormatting>
  <conditionalFormatting sqref="AA13:AD13">
    <cfRule type="expression" dxfId="115" priority="24">
      <formula>$AJ$13=0</formula>
    </cfRule>
  </conditionalFormatting>
  <conditionalFormatting sqref="AA14:AD14">
    <cfRule type="expression" dxfId="114" priority="23">
      <formula>$AJ$14=0</formula>
    </cfRule>
  </conditionalFormatting>
  <conditionalFormatting sqref="AA15:AD15">
    <cfRule type="expression" dxfId="113" priority="22">
      <formula>$AJ$15=0</formula>
    </cfRule>
  </conditionalFormatting>
  <conditionalFormatting sqref="AA22:AD24">
    <cfRule type="expression" dxfId="112" priority="21">
      <formula>$AJ$22=0</formula>
    </cfRule>
  </conditionalFormatting>
  <conditionalFormatting sqref="AA25:AD27">
    <cfRule type="expression" dxfId="111" priority="20">
      <formula>$AJ$25=0</formula>
    </cfRule>
  </conditionalFormatting>
  <conditionalFormatting sqref="AA40:AD43">
    <cfRule type="expression" dxfId="110" priority="19">
      <formula>$AJ$40=0</formula>
    </cfRule>
  </conditionalFormatting>
  <conditionalFormatting sqref="AA45:AD46">
    <cfRule type="expression" dxfId="109" priority="18">
      <formula>$AJ$45=0</formula>
    </cfRule>
  </conditionalFormatting>
  <conditionalFormatting sqref="AA47:AD47">
    <cfRule type="expression" dxfId="108" priority="17">
      <formula>$AJ$47=0</formula>
    </cfRule>
  </conditionalFormatting>
  <conditionalFormatting sqref="AA50:AD50">
    <cfRule type="expression" dxfId="107" priority="16">
      <formula>$AJ$50=0</formula>
    </cfRule>
  </conditionalFormatting>
  <conditionalFormatting sqref="AA54:AD55">
    <cfRule type="expression" dxfId="106" priority="15">
      <formula>$AJ$54=0</formula>
    </cfRule>
  </conditionalFormatting>
  <conditionalFormatting sqref="AE9:AH9">
    <cfRule type="expression" dxfId="105" priority="14">
      <formula>$AC$9="x"</formula>
    </cfRule>
  </conditionalFormatting>
  <conditionalFormatting sqref="AE10:AH11">
    <cfRule type="expression" dxfId="104" priority="13">
      <formula>$AC$10="x"</formula>
    </cfRule>
  </conditionalFormatting>
  <conditionalFormatting sqref="AE12:AH12">
    <cfRule type="expression" dxfId="103" priority="12">
      <formula>$AC$12="x"</formula>
    </cfRule>
  </conditionalFormatting>
  <conditionalFormatting sqref="AE13:AH13">
    <cfRule type="expression" dxfId="102" priority="11">
      <formula>$AC$13="x"</formula>
    </cfRule>
  </conditionalFormatting>
  <conditionalFormatting sqref="AE14:AH14">
    <cfRule type="expression" dxfId="101" priority="10">
      <formula>$AC$14="x"</formula>
    </cfRule>
  </conditionalFormatting>
  <conditionalFormatting sqref="AE15:AH15">
    <cfRule type="expression" dxfId="100" priority="9">
      <formula>$AC$15="x"</formula>
    </cfRule>
  </conditionalFormatting>
  <conditionalFormatting sqref="AE22:AH24">
    <cfRule type="expression" dxfId="99" priority="8">
      <formula>$AC$22="x"</formula>
    </cfRule>
  </conditionalFormatting>
  <conditionalFormatting sqref="AE40:AH43">
    <cfRule type="expression" dxfId="98" priority="7">
      <formula>$AC$40="x"</formula>
    </cfRule>
  </conditionalFormatting>
  <conditionalFormatting sqref="AE45:AH46">
    <cfRule type="expression" dxfId="97" priority="6">
      <formula>$AA$45="x"</formula>
    </cfRule>
  </conditionalFormatting>
  <conditionalFormatting sqref="AE47:AH47">
    <cfRule type="expression" dxfId="96" priority="5">
      <formula>$AA$47="x"</formula>
    </cfRule>
  </conditionalFormatting>
  <conditionalFormatting sqref="AE50:AH50">
    <cfRule type="expression" dxfId="95" priority="4">
      <formula>$AA$50="x"</formula>
    </cfRule>
  </conditionalFormatting>
  <conditionalFormatting sqref="AE54:AH55">
    <cfRule type="expression" dxfId="94" priority="3">
      <formula>$AA$54="x"</formula>
    </cfRule>
  </conditionalFormatting>
  <conditionalFormatting sqref="AA31:AD31">
    <cfRule type="expression" dxfId="93" priority="2">
      <formula>$AJ$31=0</formula>
    </cfRule>
  </conditionalFormatting>
  <conditionalFormatting sqref="AE31:AH31">
    <cfRule type="expression" dxfId="92" priority="1">
      <formula>$AC$31="x"</formula>
    </cfRule>
  </conditionalFormatting>
  <pageMargins left="0.23622047244094491" right="0.23622047244094491" top="0.74803149606299213" bottom="0.74803149606299213" header="0.31496062992125984" footer="0.31496062992125984"/>
  <pageSetup paperSize="9" orientation="portrait" r:id="rId1"/>
  <headerFooter>
    <oddHeader>&amp;LFahrplan Regionalligaspiel&amp;C&amp;T&amp;RStand Saison 2015/16</oddHeader>
    <oddFooter>&amp;Lzurück an:
&amp;C&amp;K00B0F0Markus Schwendtner, Sternstraße 1, 85235 Odelzhausen
oder per E-Mail an markus-schwendtner@web.de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Fahrplandruck">
                <anchor moveWithCells="1" sizeWithCells="1">
                  <from>
                    <xdr:col>37</xdr:col>
                    <xdr:colOff>19050</xdr:colOff>
                    <xdr:row>1</xdr:row>
                    <xdr:rowOff>0</xdr:rowOff>
                  </from>
                  <to>
                    <xdr:col>39</xdr:col>
                    <xdr:colOff>752475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6"/>
  <dimension ref="A1:T50"/>
  <sheetViews>
    <sheetView zoomScaleNormal="100" workbookViewId="0">
      <selection activeCell="H11" sqref="H11"/>
    </sheetView>
  </sheetViews>
  <sheetFormatPr baseColWidth="10" defaultRowHeight="15" x14ac:dyDescent="0.25"/>
  <cols>
    <col min="9" max="9" width="8.85546875" customWidth="1"/>
    <col min="10" max="10" width="11.42578125" customWidth="1"/>
    <col min="11" max="11" width="13.7109375" customWidth="1"/>
    <col min="12" max="12" width="16.7109375" customWidth="1"/>
    <col min="13" max="13" width="25" hidden="1" customWidth="1"/>
    <col min="14" max="15" width="11.42578125" hidden="1" customWidth="1"/>
    <col min="16" max="20" width="0" hidden="1" customWidth="1"/>
  </cols>
  <sheetData>
    <row r="1" spans="1:20" x14ac:dyDescent="0.25">
      <c r="A1" s="396" t="s">
        <v>211</v>
      </c>
      <c r="B1" s="396"/>
      <c r="C1" s="396"/>
      <c r="D1" s="396"/>
      <c r="E1" s="396"/>
      <c r="F1" s="396"/>
      <c r="G1" s="396"/>
      <c r="H1" s="396"/>
    </row>
    <row r="2" spans="1:20" x14ac:dyDescent="0.25">
      <c r="A2" s="396"/>
      <c r="B2" s="396"/>
      <c r="C2" s="396"/>
      <c r="D2" s="396"/>
      <c r="E2" s="396"/>
      <c r="F2" s="396"/>
      <c r="G2" s="396"/>
      <c r="H2" s="396"/>
    </row>
    <row r="3" spans="1:20" x14ac:dyDescent="0.25">
      <c r="A3" s="397" t="s">
        <v>212</v>
      </c>
      <c r="B3" s="397"/>
      <c r="C3" s="397"/>
      <c r="D3" s="397"/>
      <c r="E3" s="397"/>
      <c r="F3" s="397"/>
      <c r="G3" s="397"/>
      <c r="H3" s="397"/>
    </row>
    <row r="5" spans="1:20" x14ac:dyDescent="0.25">
      <c r="A5" s="67" t="s">
        <v>213</v>
      </c>
      <c r="B5" s="382" t="str">
        <f>Grundeinstellungen!D14 &amp; " vs. " &amp; Grundeinstellungen!D17</f>
        <v xml:space="preserve"> vs. </v>
      </c>
      <c r="C5" s="382"/>
      <c r="D5" s="382"/>
      <c r="E5" s="382"/>
      <c r="F5" s="382"/>
      <c r="G5" s="11" t="s">
        <v>33</v>
      </c>
      <c r="H5" s="13">
        <f ca="1">TODAY()</f>
        <v>42418</v>
      </c>
    </row>
    <row r="7" spans="1:20" x14ac:dyDescent="0.25">
      <c r="C7" s="398" t="s">
        <v>206</v>
      </c>
      <c r="D7" s="398"/>
      <c r="E7" s="398"/>
      <c r="F7" s="398"/>
    </row>
    <row r="8" spans="1:20" x14ac:dyDescent="0.25">
      <c r="C8" s="398"/>
      <c r="D8" s="398"/>
      <c r="E8" s="398"/>
      <c r="F8" s="398"/>
      <c r="I8" s="73"/>
      <c r="J8" s="182" t="s">
        <v>218</v>
      </c>
      <c r="K8" s="182"/>
      <c r="L8" s="182"/>
      <c r="M8" s="9"/>
    </row>
    <row r="9" spans="1:20" x14ac:dyDescent="0.25">
      <c r="A9" s="182"/>
      <c r="B9" s="182"/>
      <c r="C9" s="182"/>
      <c r="D9" s="182"/>
      <c r="E9" s="182"/>
      <c r="F9" s="182"/>
      <c r="G9" s="17" t="s">
        <v>214</v>
      </c>
      <c r="H9" s="17" t="s">
        <v>215</v>
      </c>
      <c r="I9" s="73"/>
      <c r="J9" s="69"/>
      <c r="K9" s="79" t="s">
        <v>219</v>
      </c>
      <c r="L9" s="80"/>
      <c r="M9" t="str">
        <f>IF(K9="Federballmarke nicht Aufgeführt","Federbällenichtzugelassen",K9)</f>
        <v>Federbällenichtzugelassen</v>
      </c>
      <c r="P9" s="208"/>
      <c r="Q9" s="208"/>
      <c r="R9" t="s">
        <v>214</v>
      </c>
      <c r="S9" t="s">
        <v>215</v>
      </c>
    </row>
    <row r="10" spans="1:20" x14ac:dyDescent="0.25">
      <c r="A10" s="395" t="s">
        <v>235</v>
      </c>
      <c r="B10" s="395"/>
      <c r="C10" s="395"/>
      <c r="D10" s="395"/>
      <c r="E10" s="395"/>
      <c r="F10" s="395"/>
      <c r="G10" s="69"/>
      <c r="H10" s="69"/>
      <c r="I10" s="73"/>
      <c r="J10" s="69"/>
      <c r="K10" s="71" t="s">
        <v>252</v>
      </c>
      <c r="L10" s="17" t="s">
        <v>253</v>
      </c>
      <c r="M10" t="str">
        <f>L10</f>
        <v>Babolat 1</v>
      </c>
      <c r="P10" s="1">
        <f>COUNTIF(G10:H10,"x")</f>
        <v>0</v>
      </c>
      <c r="Q10" s="1">
        <v>1</v>
      </c>
      <c r="R10" s="1">
        <f>COUNTIF(G10:G27,"x")</f>
        <v>0</v>
      </c>
      <c r="S10" s="1">
        <f>COUNTIF(H10:H27,"x")</f>
        <v>2</v>
      </c>
    </row>
    <row r="11" spans="1:20" x14ac:dyDescent="0.25">
      <c r="A11" s="395" t="s">
        <v>216</v>
      </c>
      <c r="B11" s="395"/>
      <c r="C11" s="395"/>
      <c r="D11" s="395"/>
      <c r="E11" s="395"/>
      <c r="F11" s="395"/>
      <c r="G11" s="69"/>
      <c r="H11" s="69"/>
      <c r="I11" s="73"/>
      <c r="J11" s="69"/>
      <c r="K11" s="71" t="s">
        <v>254</v>
      </c>
      <c r="L11" s="17" t="s">
        <v>286</v>
      </c>
      <c r="M11" t="str">
        <f>K11 &amp; " " &amp; L11</f>
        <v>Fly Badminton Turnier</v>
      </c>
      <c r="P11" s="1">
        <f t="shared" ref="P11:P27" si="0">COUNTIF(G11:H11,"x")</f>
        <v>0</v>
      </c>
      <c r="Q11" s="1">
        <v>1</v>
      </c>
    </row>
    <row r="12" spans="1:20" x14ac:dyDescent="0.25">
      <c r="A12" s="395" t="s">
        <v>217</v>
      </c>
      <c r="B12" s="395"/>
      <c r="C12" s="395"/>
      <c r="D12" s="395"/>
      <c r="E12" s="395"/>
      <c r="F12" s="395"/>
      <c r="G12" s="68" t="str">
        <f>IF(J9=0,"",J9)</f>
        <v/>
      </c>
      <c r="H12" s="68" t="str">
        <f>IF(N14&gt;0,"x","")</f>
        <v/>
      </c>
      <c r="I12" s="73"/>
      <c r="J12" s="69"/>
      <c r="K12" s="71" t="s">
        <v>255</v>
      </c>
      <c r="L12" s="17" t="s">
        <v>256</v>
      </c>
      <c r="M12" t="str">
        <f t="shared" ref="M12:M24" si="1">K12 &amp; " " &amp; L12</f>
        <v>Friendship Premium</v>
      </c>
      <c r="P12" s="1">
        <f t="shared" si="0"/>
        <v>0</v>
      </c>
      <c r="Q12" s="1">
        <v>1</v>
      </c>
      <c r="S12" s="1">
        <f>IF(S10=18,1,0)</f>
        <v>0</v>
      </c>
      <c r="T12" t="s">
        <v>318</v>
      </c>
    </row>
    <row r="13" spans="1:20" x14ac:dyDescent="0.25">
      <c r="A13" s="395" t="s">
        <v>220</v>
      </c>
      <c r="B13" s="395"/>
      <c r="C13" s="395"/>
      <c r="D13" s="395"/>
      <c r="E13" s="395"/>
      <c r="F13" s="395"/>
      <c r="G13" s="69"/>
      <c r="H13" s="69"/>
      <c r="I13" s="73"/>
      <c r="J13" s="69"/>
      <c r="K13" s="71" t="s">
        <v>100</v>
      </c>
      <c r="L13" s="17" t="s">
        <v>257</v>
      </c>
      <c r="M13" t="str">
        <f t="shared" si="1"/>
        <v>Oliver Apex 100</v>
      </c>
      <c r="P13" s="1">
        <f t="shared" si="0"/>
        <v>0</v>
      </c>
      <c r="Q13" s="1">
        <v>1</v>
      </c>
      <c r="S13" s="1">
        <f>IF(R10&gt;0,1,0)</f>
        <v>0</v>
      </c>
      <c r="T13" t="s">
        <v>320</v>
      </c>
    </row>
    <row r="14" spans="1:20" x14ac:dyDescent="0.25">
      <c r="A14" s="395" t="s">
        <v>221</v>
      </c>
      <c r="B14" s="395"/>
      <c r="C14" s="395"/>
      <c r="D14" s="395"/>
      <c r="E14" s="395"/>
      <c r="F14" s="395"/>
      <c r="G14" s="69"/>
      <c r="H14" s="69"/>
      <c r="I14" s="73"/>
      <c r="J14" s="69"/>
      <c r="K14" s="71" t="s">
        <v>100</v>
      </c>
      <c r="L14" s="17" t="s">
        <v>258</v>
      </c>
      <c r="M14" t="str">
        <f t="shared" si="1"/>
        <v>Oliver Apex 200</v>
      </c>
      <c r="N14" s="1">
        <f>COUNTIF(J10:J24,"x")</f>
        <v>0</v>
      </c>
      <c r="P14" s="1">
        <f t="shared" si="0"/>
        <v>0</v>
      </c>
      <c r="Q14" s="1">
        <v>1</v>
      </c>
    </row>
    <row r="15" spans="1:20" x14ac:dyDescent="0.25">
      <c r="A15" s="395" t="s">
        <v>222</v>
      </c>
      <c r="B15" s="395"/>
      <c r="C15" s="395"/>
      <c r="D15" s="395"/>
      <c r="E15" s="395"/>
      <c r="F15" s="395"/>
      <c r="G15" s="69"/>
      <c r="H15" s="69"/>
      <c r="I15" s="73"/>
      <c r="J15" s="69"/>
      <c r="K15" s="71" t="s">
        <v>259</v>
      </c>
      <c r="L15" s="17" t="s">
        <v>260</v>
      </c>
      <c r="M15" t="str">
        <f t="shared" si="1"/>
        <v>RSL Tourney No. 1</v>
      </c>
      <c r="N15" s="1">
        <f>COUNTIF(J9:J24,"x")</f>
        <v>0</v>
      </c>
      <c r="P15" s="1">
        <f t="shared" si="0"/>
        <v>0</v>
      </c>
      <c r="Q15" s="1">
        <v>1</v>
      </c>
    </row>
    <row r="16" spans="1:20" x14ac:dyDescent="0.25">
      <c r="A16" s="395" t="s">
        <v>223</v>
      </c>
      <c r="B16" s="395"/>
      <c r="C16" s="395"/>
      <c r="D16" s="395"/>
      <c r="E16" s="395"/>
      <c r="F16" s="395"/>
      <c r="G16" s="69"/>
      <c r="H16" s="69"/>
      <c r="I16" s="73"/>
      <c r="J16" s="69"/>
      <c r="K16" s="71" t="s">
        <v>261</v>
      </c>
      <c r="L16" s="17" t="s">
        <v>262</v>
      </c>
      <c r="M16" t="str">
        <f>L16</f>
        <v>YangYang 202</v>
      </c>
      <c r="P16" s="1">
        <f t="shared" si="0"/>
        <v>0</v>
      </c>
      <c r="Q16" s="1">
        <v>1</v>
      </c>
    </row>
    <row r="17" spans="1:17" x14ac:dyDescent="0.25">
      <c r="A17" s="395" t="s">
        <v>224</v>
      </c>
      <c r="B17" s="395"/>
      <c r="C17" s="395"/>
      <c r="D17" s="395"/>
      <c r="E17" s="395"/>
      <c r="F17" s="395"/>
      <c r="G17" s="69"/>
      <c r="H17" s="69"/>
      <c r="I17" s="73"/>
      <c r="J17" s="69"/>
      <c r="K17" s="71" t="s">
        <v>263</v>
      </c>
      <c r="L17" s="17" t="s">
        <v>264</v>
      </c>
      <c r="M17" t="str">
        <f>L17</f>
        <v>Dynamic 200</v>
      </c>
      <c r="P17" s="1">
        <f t="shared" si="0"/>
        <v>0</v>
      </c>
      <c r="Q17" s="1">
        <v>1</v>
      </c>
    </row>
    <row r="18" spans="1:17" x14ac:dyDescent="0.25">
      <c r="A18" s="395" t="s">
        <v>225</v>
      </c>
      <c r="B18" s="395"/>
      <c r="C18" s="395"/>
      <c r="D18" s="395"/>
      <c r="E18" s="395"/>
      <c r="F18" s="395"/>
      <c r="G18" s="69"/>
      <c r="H18" s="69"/>
      <c r="I18" s="73"/>
      <c r="J18" s="69"/>
      <c r="K18" s="71" t="s">
        <v>265</v>
      </c>
      <c r="L18" s="17" t="s">
        <v>266</v>
      </c>
      <c r="M18" t="str">
        <f t="shared" si="1"/>
        <v xml:space="preserve">Trump Yellow </v>
      </c>
      <c r="P18" s="1">
        <f t="shared" si="0"/>
        <v>0</v>
      </c>
      <c r="Q18" s="1">
        <v>1</v>
      </c>
    </row>
    <row r="19" spans="1:17" x14ac:dyDescent="0.25">
      <c r="A19" s="395" t="s">
        <v>226</v>
      </c>
      <c r="B19" s="395"/>
      <c r="C19" s="395"/>
      <c r="D19" s="395"/>
      <c r="E19" s="395"/>
      <c r="F19" s="395"/>
      <c r="G19" s="70"/>
      <c r="H19" s="70" t="s">
        <v>128</v>
      </c>
      <c r="I19" s="73"/>
      <c r="J19" s="69"/>
      <c r="K19" s="71" t="s">
        <v>267</v>
      </c>
      <c r="L19" s="17" t="s">
        <v>268</v>
      </c>
      <c r="M19" t="str">
        <f t="shared" si="1"/>
        <v>Victor Champion No. 1</v>
      </c>
      <c r="P19" s="1">
        <f t="shared" si="0"/>
        <v>1</v>
      </c>
      <c r="Q19" s="1">
        <v>1</v>
      </c>
    </row>
    <row r="20" spans="1:17" x14ac:dyDescent="0.25">
      <c r="A20" s="395" t="s">
        <v>209</v>
      </c>
      <c r="B20" s="395"/>
      <c r="C20" s="395"/>
      <c r="D20" s="395"/>
      <c r="E20" s="395"/>
      <c r="F20" s="395"/>
      <c r="G20" s="70"/>
      <c r="H20" s="70" t="s">
        <v>128</v>
      </c>
      <c r="I20" s="73"/>
      <c r="J20" s="69"/>
      <c r="K20" s="71" t="s">
        <v>267</v>
      </c>
      <c r="L20" s="17" t="s">
        <v>269</v>
      </c>
      <c r="M20" t="str">
        <f t="shared" si="1"/>
        <v>Victor GoldChampion</v>
      </c>
      <c r="P20" s="1">
        <f t="shared" si="0"/>
        <v>1</v>
      </c>
      <c r="Q20" s="1">
        <v>1</v>
      </c>
    </row>
    <row r="21" spans="1:17" x14ac:dyDescent="0.25">
      <c r="A21" s="395" t="s">
        <v>227</v>
      </c>
      <c r="B21" s="395"/>
      <c r="C21" s="395"/>
      <c r="D21" s="395"/>
      <c r="E21" s="395"/>
      <c r="F21" s="395"/>
      <c r="G21" s="69"/>
      <c r="H21" s="69"/>
      <c r="I21" s="73"/>
      <c r="J21" s="69"/>
      <c r="K21" s="71" t="s">
        <v>267</v>
      </c>
      <c r="L21" s="17" t="s">
        <v>270</v>
      </c>
      <c r="M21" t="str">
        <f t="shared" si="1"/>
        <v>Victor Master ACE</v>
      </c>
      <c r="P21" s="1">
        <f t="shared" si="0"/>
        <v>0</v>
      </c>
      <c r="Q21" s="1">
        <v>1</v>
      </c>
    </row>
    <row r="22" spans="1:17" x14ac:dyDescent="0.25">
      <c r="A22" s="395" t="s">
        <v>228</v>
      </c>
      <c r="B22" s="395"/>
      <c r="C22" s="395"/>
      <c r="D22" s="395"/>
      <c r="E22" s="395"/>
      <c r="F22" s="395"/>
      <c r="G22" s="69"/>
      <c r="H22" s="69"/>
      <c r="I22" s="73"/>
      <c r="J22" s="69"/>
      <c r="K22" s="71" t="s">
        <v>271</v>
      </c>
      <c r="L22" s="17" t="s">
        <v>272</v>
      </c>
      <c r="M22" t="str">
        <f t="shared" si="1"/>
        <v>Yonnex AS30</v>
      </c>
      <c r="P22" s="1">
        <f t="shared" si="0"/>
        <v>0</v>
      </c>
      <c r="Q22" s="1">
        <v>1</v>
      </c>
    </row>
    <row r="23" spans="1:17" x14ac:dyDescent="0.25">
      <c r="A23" s="395" t="s">
        <v>229</v>
      </c>
      <c r="B23" s="395"/>
      <c r="C23" s="395"/>
      <c r="D23" s="395"/>
      <c r="E23" s="395"/>
      <c r="F23" s="395"/>
      <c r="G23" s="69"/>
      <c r="H23" s="69"/>
      <c r="I23" s="73"/>
      <c r="J23" s="69"/>
      <c r="K23" s="71" t="s">
        <v>271</v>
      </c>
      <c r="L23" s="17" t="s">
        <v>273</v>
      </c>
      <c r="M23" t="str">
        <f t="shared" si="1"/>
        <v>Yonnex AS40</v>
      </c>
      <c r="P23" s="1">
        <f t="shared" si="0"/>
        <v>0</v>
      </c>
      <c r="Q23" s="1">
        <v>1</v>
      </c>
    </row>
    <row r="24" spans="1:17" x14ac:dyDescent="0.25">
      <c r="A24" s="395" t="s">
        <v>230</v>
      </c>
      <c r="B24" s="395"/>
      <c r="C24" s="395"/>
      <c r="D24" s="395"/>
      <c r="E24" s="395"/>
      <c r="F24" s="395"/>
      <c r="G24" s="69"/>
      <c r="H24" s="69"/>
      <c r="I24" s="73"/>
      <c r="J24" s="69"/>
      <c r="K24" s="71" t="s">
        <v>271</v>
      </c>
      <c r="L24" s="17" t="s">
        <v>274</v>
      </c>
      <c r="M24" t="str">
        <f t="shared" si="1"/>
        <v>Yonnex AS50</v>
      </c>
      <c r="P24" s="1">
        <f t="shared" si="0"/>
        <v>0</v>
      </c>
      <c r="Q24" s="1">
        <v>1</v>
      </c>
    </row>
    <row r="25" spans="1:17" x14ac:dyDescent="0.25">
      <c r="A25" s="395" t="s">
        <v>231</v>
      </c>
      <c r="B25" s="395"/>
      <c r="C25" s="395"/>
      <c r="D25" s="395"/>
      <c r="E25" s="395"/>
      <c r="F25" s="395"/>
      <c r="G25" s="69"/>
      <c r="H25" s="69"/>
      <c r="I25" s="73"/>
      <c r="K25" s="9"/>
      <c r="P25" s="1">
        <f t="shared" si="0"/>
        <v>0</v>
      </c>
      <c r="Q25" s="1">
        <v>1</v>
      </c>
    </row>
    <row r="26" spans="1:17" x14ac:dyDescent="0.25">
      <c r="A26" s="395" t="s">
        <v>232</v>
      </c>
      <c r="B26" s="395"/>
      <c r="C26" s="395"/>
      <c r="D26" s="395"/>
      <c r="E26" s="395"/>
      <c r="F26" s="395"/>
      <c r="G26" s="69"/>
      <c r="H26" s="69"/>
      <c r="I26" s="73"/>
      <c r="K26" s="211" t="e">
        <f>VLOOKUP("x",J9:M24,4,FALSE)</f>
        <v>#N/A</v>
      </c>
      <c r="L26" s="211"/>
      <c r="P26" s="1">
        <f t="shared" si="0"/>
        <v>0</v>
      </c>
      <c r="Q26" s="1">
        <v>1</v>
      </c>
    </row>
    <row r="27" spans="1:17" x14ac:dyDescent="0.25">
      <c r="A27" s="395" t="s">
        <v>233</v>
      </c>
      <c r="B27" s="395"/>
      <c r="C27" s="395"/>
      <c r="D27" s="395"/>
      <c r="E27" s="395"/>
      <c r="F27" s="395"/>
      <c r="G27" s="69"/>
      <c r="H27" s="69"/>
      <c r="I27" s="73"/>
      <c r="P27" s="1">
        <f t="shared" si="0"/>
        <v>0</v>
      </c>
      <c r="Q27" s="1">
        <v>1</v>
      </c>
    </row>
    <row r="28" spans="1:17" x14ac:dyDescent="0.25">
      <c r="A28" s="399" t="s">
        <v>234</v>
      </c>
      <c r="B28" s="399"/>
      <c r="C28" s="399"/>
      <c r="D28" s="399"/>
      <c r="E28" s="399"/>
      <c r="F28" s="399"/>
      <c r="G28" s="399"/>
      <c r="H28" s="399"/>
      <c r="I28" s="133"/>
      <c r="J28" s="9"/>
      <c r="K28" s="9"/>
      <c r="L28" s="9"/>
      <c r="M28" s="9"/>
      <c r="N28" s="9"/>
      <c r="P28" s="1">
        <f>SUM(P10:P27)</f>
        <v>2</v>
      </c>
      <c r="Q28" s="1">
        <f>SUM(Q10:Q27)</f>
        <v>18</v>
      </c>
    </row>
    <row r="29" spans="1:17" x14ac:dyDescent="0.25">
      <c r="A29" s="400"/>
      <c r="B29" s="400"/>
      <c r="C29" s="400"/>
      <c r="D29" s="400"/>
      <c r="E29" s="400"/>
      <c r="F29" s="400"/>
      <c r="G29" s="400"/>
      <c r="H29" s="400"/>
      <c r="I29" s="133"/>
      <c r="J29" s="9"/>
      <c r="K29" s="9"/>
      <c r="L29" s="9"/>
      <c r="M29" s="9"/>
      <c r="N29" s="9"/>
      <c r="P29" s="208">
        <f>IF(P28=Q28,10,0)</f>
        <v>0</v>
      </c>
      <c r="Q29" s="208"/>
    </row>
    <row r="30" spans="1:17" x14ac:dyDescent="0.25">
      <c r="A30" s="400"/>
      <c r="B30" s="400"/>
      <c r="C30" s="400"/>
      <c r="D30" s="400"/>
      <c r="E30" s="400"/>
      <c r="F30" s="400"/>
      <c r="G30" s="400"/>
      <c r="H30" s="400"/>
      <c r="I30" s="133"/>
      <c r="J30" s="9"/>
      <c r="K30" s="9"/>
      <c r="L30" s="9"/>
      <c r="M30" s="9"/>
      <c r="N30" s="9"/>
    </row>
    <row r="31" spans="1:17" x14ac:dyDescent="0.25">
      <c r="I31" s="73"/>
    </row>
    <row r="32" spans="1:17" x14ac:dyDescent="0.25">
      <c r="A32" s="208" t="s">
        <v>236</v>
      </c>
      <c r="B32" s="208"/>
      <c r="C32" s="208"/>
      <c r="D32" s="208"/>
      <c r="E32" s="208"/>
      <c r="F32" s="208"/>
      <c r="G32" s="208"/>
      <c r="H32" s="208"/>
      <c r="I32" s="73"/>
    </row>
    <row r="33" spans="1:9" x14ac:dyDescent="0.25">
      <c r="A33" s="182"/>
      <c r="B33" s="182"/>
      <c r="C33" s="182"/>
      <c r="D33" s="182"/>
      <c r="E33" s="182"/>
      <c r="F33" s="182"/>
      <c r="G33" s="16" t="s">
        <v>214</v>
      </c>
      <c r="H33" s="17" t="s">
        <v>215</v>
      </c>
      <c r="I33" s="73"/>
    </row>
    <row r="34" spans="1:9" x14ac:dyDescent="0.25">
      <c r="A34" s="395" t="s">
        <v>237</v>
      </c>
      <c r="B34" s="395"/>
      <c r="C34" s="395"/>
      <c r="D34" s="395"/>
      <c r="E34" s="395"/>
      <c r="F34" s="395"/>
      <c r="G34" s="69"/>
      <c r="H34" s="69"/>
      <c r="I34" s="73"/>
    </row>
    <row r="35" spans="1:9" x14ac:dyDescent="0.25">
      <c r="A35" s="395" t="s">
        <v>239</v>
      </c>
      <c r="B35" s="395"/>
      <c r="C35" s="395"/>
      <c r="D35" s="395"/>
      <c r="E35" s="395"/>
      <c r="F35" s="395"/>
      <c r="G35" s="69"/>
      <c r="H35" s="69"/>
      <c r="I35" s="73"/>
    </row>
    <row r="36" spans="1:9" x14ac:dyDescent="0.25">
      <c r="A36" s="395" t="s">
        <v>238</v>
      </c>
      <c r="B36" s="395"/>
      <c r="C36" s="395"/>
      <c r="D36" s="395"/>
      <c r="E36" s="395"/>
      <c r="F36" s="395"/>
      <c r="G36" s="69"/>
      <c r="H36" s="69"/>
      <c r="I36" s="73"/>
    </row>
    <row r="37" spans="1:9" x14ac:dyDescent="0.25">
      <c r="A37" s="395" t="s">
        <v>240</v>
      </c>
      <c r="B37" s="395"/>
      <c r="C37" s="395"/>
      <c r="D37" s="395"/>
      <c r="E37" s="395"/>
      <c r="F37" s="395"/>
      <c r="G37" s="69"/>
      <c r="H37" s="69"/>
      <c r="I37" s="73"/>
    </row>
    <row r="38" spans="1:9" x14ac:dyDescent="0.25">
      <c r="A38" s="395" t="s">
        <v>241</v>
      </c>
      <c r="B38" s="395"/>
      <c r="C38" s="395"/>
      <c r="D38" s="395"/>
      <c r="E38" s="395"/>
      <c r="F38" s="395"/>
      <c r="G38" s="69"/>
      <c r="H38" s="69"/>
      <c r="I38" s="73"/>
    </row>
    <row r="39" spans="1:9" x14ac:dyDescent="0.25">
      <c r="A39" s="395" t="s">
        <v>242</v>
      </c>
      <c r="B39" s="395"/>
      <c r="C39" s="395"/>
      <c r="D39" s="395"/>
      <c r="E39" s="395"/>
      <c r="F39" s="395"/>
      <c r="G39" s="69"/>
      <c r="H39" s="69"/>
      <c r="I39" s="73"/>
    </row>
    <row r="40" spans="1:9" x14ac:dyDescent="0.25">
      <c r="A40" s="395" t="s">
        <v>243</v>
      </c>
      <c r="B40" s="395"/>
      <c r="C40" s="395"/>
      <c r="D40" s="395"/>
      <c r="E40" s="395"/>
      <c r="F40" s="395"/>
      <c r="G40" s="69"/>
      <c r="H40" s="69"/>
      <c r="I40" s="73"/>
    </row>
    <row r="41" spans="1:9" x14ac:dyDescent="0.25">
      <c r="A41" s="395" t="s">
        <v>244</v>
      </c>
      <c r="B41" s="395"/>
      <c r="C41" s="395"/>
      <c r="D41" s="395"/>
      <c r="E41" s="395"/>
      <c r="F41" s="395"/>
      <c r="G41" s="69"/>
      <c r="H41" s="69"/>
      <c r="I41" s="73"/>
    </row>
    <row r="42" spans="1:9" x14ac:dyDescent="0.25">
      <c r="A42" s="395" t="s">
        <v>245</v>
      </c>
      <c r="B42" s="395"/>
      <c r="C42" s="395"/>
      <c r="D42" s="395"/>
      <c r="E42" s="395"/>
      <c r="F42" s="395"/>
      <c r="G42" s="69"/>
      <c r="H42" s="69"/>
      <c r="I42" s="73"/>
    </row>
    <row r="43" spans="1:9" x14ac:dyDescent="0.25">
      <c r="A43" s="395" t="s">
        <v>246</v>
      </c>
      <c r="B43" s="395"/>
      <c r="C43" s="395"/>
      <c r="D43" s="395"/>
      <c r="E43" s="395"/>
      <c r="F43" s="395"/>
      <c r="G43" s="69"/>
      <c r="H43" s="69"/>
      <c r="I43" s="73"/>
    </row>
    <row r="44" spans="1:9" x14ac:dyDescent="0.25">
      <c r="A44" s="395" t="s">
        <v>247</v>
      </c>
      <c r="B44" s="395"/>
      <c r="C44" s="395"/>
      <c r="D44" s="395"/>
      <c r="E44" s="395"/>
      <c r="F44" s="395"/>
      <c r="G44" s="69"/>
      <c r="H44" s="69"/>
      <c r="I44" s="73"/>
    </row>
    <row r="45" spans="1:9" x14ac:dyDescent="0.25">
      <c r="A45" s="395" t="s">
        <v>248</v>
      </c>
      <c r="B45" s="395"/>
      <c r="C45" s="395"/>
      <c r="D45" s="395"/>
      <c r="E45" s="395"/>
      <c r="F45" s="395"/>
      <c r="G45" s="69"/>
      <c r="H45" s="69"/>
      <c r="I45" s="73"/>
    </row>
    <row r="46" spans="1:9" x14ac:dyDescent="0.25">
      <c r="A46" s="395" t="s">
        <v>249</v>
      </c>
      <c r="B46" s="395"/>
      <c r="C46" s="395"/>
      <c r="D46" s="395"/>
      <c r="E46" s="395"/>
      <c r="F46" s="395"/>
      <c r="G46" s="69"/>
      <c r="H46" s="69"/>
      <c r="I46" s="73"/>
    </row>
    <row r="47" spans="1:9" x14ac:dyDescent="0.25">
      <c r="A47" s="395" t="s">
        <v>250</v>
      </c>
      <c r="B47" s="395"/>
      <c r="C47" s="395"/>
      <c r="D47" s="395"/>
      <c r="E47" s="395"/>
      <c r="F47" s="395"/>
      <c r="G47" s="69"/>
      <c r="H47" s="69"/>
      <c r="I47" s="73"/>
    </row>
    <row r="48" spans="1:9" x14ac:dyDescent="0.25">
      <c r="A48" s="9"/>
      <c r="B48" s="9"/>
      <c r="C48" s="9"/>
      <c r="D48" s="9"/>
      <c r="E48" s="9"/>
      <c r="F48" s="9"/>
    </row>
    <row r="50" spans="2:8" x14ac:dyDescent="0.25">
      <c r="B50" s="208" t="s">
        <v>251</v>
      </c>
      <c r="C50" s="208"/>
      <c r="D50" s="208"/>
      <c r="E50" s="382"/>
      <c r="F50" s="382"/>
      <c r="G50" s="382"/>
      <c r="H50" s="382"/>
    </row>
  </sheetData>
  <sheetProtection sheet="1" objects="1" scenarios="1" selectLockedCells="1"/>
  <mergeCells count="46">
    <mergeCell ref="J8:L8"/>
    <mergeCell ref="P29:Q29"/>
    <mergeCell ref="P9:Q9"/>
    <mergeCell ref="K26:L26"/>
    <mergeCell ref="A45:F45"/>
    <mergeCell ref="A33:F33"/>
    <mergeCell ref="A34:F34"/>
    <mergeCell ref="A35:F35"/>
    <mergeCell ref="A36:F36"/>
    <mergeCell ref="A37:F37"/>
    <mergeCell ref="A38:F38"/>
    <mergeCell ref="A27:F27"/>
    <mergeCell ref="A28:H30"/>
    <mergeCell ref="A32:H32"/>
    <mergeCell ref="A21:F21"/>
    <mergeCell ref="A22:F22"/>
    <mergeCell ref="A46:F46"/>
    <mergeCell ref="A47:F47"/>
    <mergeCell ref="B50:D50"/>
    <mergeCell ref="E50:H50"/>
    <mergeCell ref="A39:F39"/>
    <mergeCell ref="A40:F40"/>
    <mergeCell ref="A41:F41"/>
    <mergeCell ref="A42:F42"/>
    <mergeCell ref="A43:F43"/>
    <mergeCell ref="A44:F44"/>
    <mergeCell ref="A23:F23"/>
    <mergeCell ref="A24:F24"/>
    <mergeCell ref="A25:F25"/>
    <mergeCell ref="A26:F26"/>
    <mergeCell ref="A15:F15"/>
    <mergeCell ref="A16:F16"/>
    <mergeCell ref="A17:F17"/>
    <mergeCell ref="A18:F18"/>
    <mergeCell ref="A19:F19"/>
    <mergeCell ref="A20:F20"/>
    <mergeCell ref="A14:F14"/>
    <mergeCell ref="A1:H2"/>
    <mergeCell ref="A3:H3"/>
    <mergeCell ref="B5:F5"/>
    <mergeCell ref="C7:F8"/>
    <mergeCell ref="A9:F9"/>
    <mergeCell ref="A10:F10"/>
    <mergeCell ref="A11:F11"/>
    <mergeCell ref="A12:F12"/>
    <mergeCell ref="A13:F13"/>
  </mergeCells>
  <conditionalFormatting sqref="G10:H10">
    <cfRule type="expression" dxfId="91" priority="12">
      <formula>$P$10=0</formula>
    </cfRule>
  </conditionalFormatting>
  <conditionalFormatting sqref="G11:H11">
    <cfRule type="expression" dxfId="90" priority="11">
      <formula>$P$11=0</formula>
    </cfRule>
  </conditionalFormatting>
  <conditionalFormatting sqref="G13:H13">
    <cfRule type="expression" dxfId="89" priority="10">
      <formula>$P$13=0</formula>
    </cfRule>
  </conditionalFormatting>
  <conditionalFormatting sqref="G14:H14">
    <cfRule type="expression" dxfId="88" priority="9">
      <formula>$P$14=0</formula>
    </cfRule>
  </conditionalFormatting>
  <conditionalFormatting sqref="G15:H15">
    <cfRule type="expression" dxfId="87" priority="8">
      <formula>$P$15=0</formula>
    </cfRule>
  </conditionalFormatting>
  <conditionalFormatting sqref="G16:H16">
    <cfRule type="expression" dxfId="86" priority="7">
      <formula>$P$16=0</formula>
    </cfRule>
  </conditionalFormatting>
  <conditionalFormatting sqref="G17:H17">
    <cfRule type="expression" dxfId="85" priority="6">
      <formula>$P$17=0</formula>
    </cfRule>
  </conditionalFormatting>
  <conditionalFormatting sqref="G18:H18">
    <cfRule type="expression" dxfId="84" priority="5">
      <formula>$P$18=0</formula>
    </cfRule>
  </conditionalFormatting>
  <conditionalFormatting sqref="G21:H21">
    <cfRule type="expression" dxfId="83" priority="4">
      <formula>$P$21=0</formula>
    </cfRule>
  </conditionalFormatting>
  <conditionalFormatting sqref="G22:H22">
    <cfRule type="expression" dxfId="82" priority="3">
      <formula>$P$22=0</formula>
    </cfRule>
  </conditionalFormatting>
  <conditionalFormatting sqref="G23:H27">
    <cfRule type="expression" dxfId="81" priority="2">
      <formula>$P23=0</formula>
    </cfRule>
  </conditionalFormatting>
  <conditionalFormatting sqref="J9:J24">
    <cfRule type="expression" dxfId="80" priority="1">
      <formula>$N$15=0</formula>
    </cfRule>
  </conditionalFormatting>
  <pageMargins left="0.23622047244094491" right="0.23622047244094491" top="0.74803149606299213" bottom="0.74803149606299213" header="0.31496062992125984" footer="0.31496062992125984"/>
  <pageSetup paperSize="9" orientation="portrait" r:id="rId1"/>
  <headerFooter>
    <oddHeader>&amp;LMINIRL&amp;C&amp;T&amp;RStand Saison 2015/16</oddHead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1"/>
  <dimension ref="A1:G50"/>
  <sheetViews>
    <sheetView workbookViewId="0">
      <selection activeCell="A50" sqref="A50"/>
    </sheetView>
  </sheetViews>
  <sheetFormatPr baseColWidth="10" defaultRowHeight="15" x14ac:dyDescent="0.25"/>
  <sheetData>
    <row r="1" spans="1:7" x14ac:dyDescent="0.25">
      <c r="A1" s="401" t="s">
        <v>566</v>
      </c>
      <c r="B1" s="402"/>
      <c r="C1" s="402"/>
      <c r="D1" s="402"/>
      <c r="E1" s="402"/>
      <c r="F1" s="402"/>
      <c r="G1" s="403"/>
    </row>
    <row r="2" spans="1:7" x14ac:dyDescent="0.25">
      <c r="A2" s="404"/>
      <c r="B2" s="405"/>
      <c r="C2" s="405"/>
      <c r="D2" s="405"/>
      <c r="E2" s="405"/>
      <c r="F2" s="405"/>
      <c r="G2" s="406"/>
    </row>
    <row r="3" spans="1:7" ht="30.75" customHeight="1" x14ac:dyDescent="0.25">
      <c r="A3" s="404"/>
      <c r="B3" s="405"/>
      <c r="C3" s="405"/>
      <c r="D3" s="405"/>
      <c r="E3" s="405"/>
      <c r="F3" s="405"/>
      <c r="G3" s="406"/>
    </row>
    <row r="4" spans="1:7" ht="15.75" thickBot="1" x14ac:dyDescent="0.3">
      <c r="A4" s="407"/>
      <c r="B4" s="408"/>
      <c r="C4" s="408"/>
      <c r="D4" s="408"/>
      <c r="E4" s="408"/>
      <c r="F4" s="408"/>
      <c r="G4" s="409"/>
    </row>
    <row r="5" spans="1:7" x14ac:dyDescent="0.25">
      <c r="A5" s="118"/>
      <c r="B5" s="119"/>
      <c r="C5" s="119"/>
      <c r="D5" s="119"/>
      <c r="E5" s="119"/>
      <c r="F5" s="119"/>
      <c r="G5" s="120"/>
    </row>
    <row r="6" spans="1:7" x14ac:dyDescent="0.25">
      <c r="A6" s="121"/>
      <c r="B6" s="5"/>
      <c r="C6" s="5"/>
      <c r="D6" s="5"/>
      <c r="E6" s="5"/>
      <c r="F6" s="5"/>
      <c r="G6" s="122"/>
    </row>
    <row r="7" spans="1:7" x14ac:dyDescent="0.25">
      <c r="A7" s="410" t="s">
        <v>343</v>
      </c>
      <c r="B7" s="379"/>
      <c r="C7" s="126">
        <f ca="1">TODAY()</f>
        <v>42418</v>
      </c>
      <c r="D7" s="115" t="s">
        <v>344</v>
      </c>
      <c r="E7" s="411" t="str">
        <f>Grundeinstellungen!$I$8</f>
        <v/>
      </c>
      <c r="F7" s="411"/>
      <c r="G7" s="412"/>
    </row>
    <row r="8" spans="1:7" x14ac:dyDescent="0.25">
      <c r="A8" s="121"/>
      <c r="B8" s="5"/>
      <c r="C8" s="5"/>
      <c r="D8" s="5"/>
      <c r="E8" s="5"/>
      <c r="F8" s="5"/>
      <c r="G8" s="122"/>
    </row>
    <row r="9" spans="1:7" x14ac:dyDescent="0.25">
      <c r="A9" s="121"/>
      <c r="B9" s="5"/>
      <c r="C9" s="5"/>
      <c r="D9" s="5"/>
      <c r="E9" s="5"/>
      <c r="F9" s="5"/>
      <c r="G9" s="122"/>
    </row>
    <row r="10" spans="1:7" x14ac:dyDescent="0.25">
      <c r="A10" s="413">
        <f>Grundeinstellungen!$D$14</f>
        <v>0</v>
      </c>
      <c r="B10" s="411"/>
      <c r="C10" s="411"/>
      <c r="D10" s="115" t="s">
        <v>347</v>
      </c>
      <c r="E10" s="411">
        <f>Grundeinstellungen!$D$17</f>
        <v>0</v>
      </c>
      <c r="F10" s="411"/>
      <c r="G10" s="412"/>
    </row>
    <row r="11" spans="1:7" x14ac:dyDescent="0.25">
      <c r="A11" s="131" t="s">
        <v>345</v>
      </c>
      <c r="B11" s="5"/>
      <c r="C11" s="5"/>
      <c r="D11" s="5"/>
      <c r="E11" s="5"/>
      <c r="F11" s="5"/>
      <c r="G11" s="132" t="s">
        <v>346</v>
      </c>
    </row>
    <row r="12" spans="1:7" x14ac:dyDescent="0.25">
      <c r="A12" s="121"/>
      <c r="B12" s="5"/>
      <c r="C12" s="5"/>
      <c r="D12" s="5"/>
      <c r="E12" s="5"/>
      <c r="F12" s="5"/>
      <c r="G12" s="122"/>
    </row>
    <row r="13" spans="1:7" x14ac:dyDescent="0.25">
      <c r="A13" s="121"/>
      <c r="B13" s="5"/>
      <c r="C13" s="5"/>
      <c r="D13" s="5"/>
      <c r="E13" s="5"/>
      <c r="F13" s="5"/>
      <c r="G13" s="122"/>
    </row>
    <row r="14" spans="1:7" x14ac:dyDescent="0.25">
      <c r="A14" s="419" t="s">
        <v>348</v>
      </c>
      <c r="B14" s="420"/>
      <c r="C14" s="420"/>
      <c r="D14" s="127">
        <v>25</v>
      </c>
      <c r="E14" s="5"/>
      <c r="F14" s="128">
        <v>25</v>
      </c>
      <c r="G14" s="122"/>
    </row>
    <row r="15" spans="1:7" x14ac:dyDescent="0.25">
      <c r="A15" s="121"/>
      <c r="B15" s="5"/>
      <c r="C15" s="5"/>
      <c r="D15" s="5"/>
      <c r="E15" s="5"/>
      <c r="F15" s="5"/>
      <c r="G15" s="122"/>
    </row>
    <row r="16" spans="1:7" x14ac:dyDescent="0.25">
      <c r="A16" s="419" t="s">
        <v>350</v>
      </c>
      <c r="B16" s="420"/>
      <c r="C16" s="420"/>
      <c r="D16" s="116">
        <f>Grundeinstellungen!M20</f>
        <v>0</v>
      </c>
      <c r="E16" s="5" t="s">
        <v>349</v>
      </c>
      <c r="F16" s="128">
        <f>D16*0.3</f>
        <v>0</v>
      </c>
      <c r="G16" s="122"/>
    </row>
    <row r="17" spans="1:7" ht="3" customHeight="1" x14ac:dyDescent="0.25">
      <c r="A17" s="121"/>
      <c r="B17" s="5"/>
      <c r="C17" s="5"/>
      <c r="D17" s="5"/>
      <c r="E17" s="5"/>
      <c r="F17" s="129"/>
      <c r="G17" s="122"/>
    </row>
    <row r="18" spans="1:7" x14ac:dyDescent="0.25">
      <c r="A18" s="121"/>
      <c r="B18" s="5"/>
      <c r="C18" s="5"/>
      <c r="D18" s="5"/>
      <c r="E18" s="5"/>
      <c r="F18" s="5"/>
      <c r="G18" s="122"/>
    </row>
    <row r="19" spans="1:7" ht="15.75" thickBot="1" x14ac:dyDescent="0.3">
      <c r="A19" s="121"/>
      <c r="B19" s="5"/>
      <c r="C19" s="5"/>
      <c r="D19" s="421" t="s">
        <v>352</v>
      </c>
      <c r="E19" s="421"/>
      <c r="F19" s="130">
        <f>F16+F14</f>
        <v>25</v>
      </c>
      <c r="G19" s="122"/>
    </row>
    <row r="20" spans="1:7" ht="15.75" thickTop="1" x14ac:dyDescent="0.25">
      <c r="A20" s="121"/>
      <c r="B20" s="5"/>
      <c r="C20" s="5"/>
      <c r="D20" s="5"/>
      <c r="E20" s="5"/>
      <c r="F20" s="5"/>
      <c r="G20" s="122"/>
    </row>
    <row r="21" spans="1:7" x14ac:dyDescent="0.25">
      <c r="A21" s="121" t="s">
        <v>351</v>
      </c>
      <c r="B21" s="5"/>
      <c r="C21" s="5"/>
      <c r="D21" s="411">
        <f>Grundeinstellungen!D20</f>
        <v>0</v>
      </c>
      <c r="E21" s="411"/>
      <c r="F21" s="411"/>
      <c r="G21" s="122"/>
    </row>
    <row r="22" spans="1:7" x14ac:dyDescent="0.25">
      <c r="A22" s="121"/>
      <c r="B22" s="5"/>
      <c r="C22" s="5"/>
      <c r="D22" s="5"/>
      <c r="E22" s="5"/>
      <c r="F22" s="5"/>
      <c r="G22" s="122"/>
    </row>
    <row r="23" spans="1:7" x14ac:dyDescent="0.25">
      <c r="A23" s="125"/>
      <c r="B23" s="10"/>
      <c r="C23" s="10"/>
      <c r="D23" s="5"/>
      <c r="E23" s="5"/>
      <c r="F23" s="5"/>
      <c r="G23" s="122"/>
    </row>
    <row r="24" spans="1:7" x14ac:dyDescent="0.25">
      <c r="A24" s="121"/>
      <c r="B24" s="5"/>
      <c r="C24" s="5"/>
      <c r="D24" s="5"/>
      <c r="E24" s="5"/>
      <c r="F24" s="5"/>
      <c r="G24" s="122"/>
    </row>
    <row r="25" spans="1:7" x14ac:dyDescent="0.25">
      <c r="A25" s="121"/>
      <c r="B25" s="5"/>
      <c r="C25" s="5"/>
      <c r="D25" s="5"/>
      <c r="E25" s="5"/>
      <c r="F25" s="5"/>
      <c r="G25" s="122"/>
    </row>
    <row r="26" spans="1:7" x14ac:dyDescent="0.25">
      <c r="A26" s="417" t="str">
        <f>E7 &amp; ","</f>
        <v>,</v>
      </c>
      <c r="B26" s="418"/>
      <c r="C26" s="416">
        <f ca="1">C7</f>
        <v>42418</v>
      </c>
      <c r="D26" s="416"/>
      <c r="E26" s="411"/>
      <c r="F26" s="411"/>
      <c r="G26" s="412"/>
    </row>
    <row r="27" spans="1:7" ht="15.75" thickBot="1" x14ac:dyDescent="0.3">
      <c r="A27" s="123"/>
      <c r="B27" s="124"/>
      <c r="C27" s="124"/>
      <c r="D27" s="124"/>
      <c r="E27" s="414" t="s">
        <v>353</v>
      </c>
      <c r="F27" s="414"/>
      <c r="G27" s="415"/>
    </row>
    <row r="28" spans="1:7" x14ac:dyDescent="0.25">
      <c r="A28" s="118"/>
      <c r="B28" s="119"/>
      <c r="C28" s="119"/>
      <c r="D28" s="119"/>
      <c r="E28" s="119"/>
      <c r="F28" s="119"/>
      <c r="G28" s="120"/>
    </row>
    <row r="29" spans="1:7" x14ac:dyDescent="0.25">
      <c r="A29" s="121"/>
      <c r="B29" s="5"/>
      <c r="C29" s="5"/>
      <c r="D29" s="5"/>
      <c r="E29" s="5"/>
      <c r="F29" s="5"/>
      <c r="G29" s="122"/>
    </row>
    <row r="30" spans="1:7" x14ac:dyDescent="0.25">
      <c r="A30" s="410" t="s">
        <v>343</v>
      </c>
      <c r="B30" s="379"/>
      <c r="C30" s="126">
        <f ca="1">TODAY()</f>
        <v>42418</v>
      </c>
      <c r="D30" s="115" t="s">
        <v>344</v>
      </c>
      <c r="E30" s="411" t="str">
        <f>Grundeinstellungen!$I$8</f>
        <v/>
      </c>
      <c r="F30" s="411"/>
      <c r="G30" s="412"/>
    </row>
    <row r="31" spans="1:7" x14ac:dyDescent="0.25">
      <c r="A31" s="121"/>
      <c r="B31" s="5"/>
      <c r="C31" s="5"/>
      <c r="D31" s="5"/>
      <c r="E31" s="5"/>
      <c r="F31" s="5"/>
      <c r="G31" s="122"/>
    </row>
    <row r="32" spans="1:7" x14ac:dyDescent="0.25">
      <c r="A32" s="121"/>
      <c r="B32" s="5"/>
      <c r="C32" s="5"/>
      <c r="D32" s="5"/>
      <c r="E32" s="5"/>
      <c r="F32" s="5"/>
      <c r="G32" s="122"/>
    </row>
    <row r="33" spans="1:7" x14ac:dyDescent="0.25">
      <c r="A33" s="413">
        <f>Grundeinstellungen!$D$14</f>
        <v>0</v>
      </c>
      <c r="B33" s="411"/>
      <c r="C33" s="411"/>
      <c r="D33" s="115" t="s">
        <v>347</v>
      </c>
      <c r="E33" s="411">
        <f>Grundeinstellungen!$D$17</f>
        <v>0</v>
      </c>
      <c r="F33" s="411"/>
      <c r="G33" s="412"/>
    </row>
    <row r="34" spans="1:7" x14ac:dyDescent="0.25">
      <c r="A34" s="131" t="s">
        <v>345</v>
      </c>
      <c r="B34" s="5"/>
      <c r="C34" s="5"/>
      <c r="D34" s="5"/>
      <c r="E34" s="5"/>
      <c r="F34" s="5"/>
      <c r="G34" s="132" t="s">
        <v>346</v>
      </c>
    </row>
    <row r="35" spans="1:7" x14ac:dyDescent="0.25">
      <c r="A35" s="121"/>
      <c r="B35" s="5"/>
      <c r="C35" s="5"/>
      <c r="D35" s="5"/>
      <c r="E35" s="5"/>
      <c r="F35" s="5"/>
      <c r="G35" s="122"/>
    </row>
    <row r="36" spans="1:7" x14ac:dyDescent="0.25">
      <c r="A36" s="121"/>
      <c r="B36" s="5"/>
      <c r="C36" s="5"/>
      <c r="D36" s="5"/>
      <c r="E36" s="5"/>
      <c r="F36" s="5"/>
      <c r="G36" s="122"/>
    </row>
    <row r="37" spans="1:7" x14ac:dyDescent="0.25">
      <c r="A37" s="419" t="s">
        <v>348</v>
      </c>
      <c r="B37" s="420"/>
      <c r="C37" s="420"/>
      <c r="D37" s="127">
        <v>25</v>
      </c>
      <c r="E37" s="5"/>
      <c r="F37" s="128">
        <v>25</v>
      </c>
      <c r="G37" s="122"/>
    </row>
    <row r="38" spans="1:7" x14ac:dyDescent="0.25">
      <c r="A38" s="121"/>
      <c r="B38" s="5"/>
      <c r="C38" s="5"/>
      <c r="D38" s="5"/>
      <c r="E38" s="5"/>
      <c r="F38" s="5"/>
      <c r="G38" s="122"/>
    </row>
    <row r="39" spans="1:7" x14ac:dyDescent="0.25">
      <c r="A39" s="419" t="s">
        <v>350</v>
      </c>
      <c r="B39" s="420"/>
      <c r="C39" s="420"/>
      <c r="D39" s="116">
        <f>Grundeinstellungen!M23</f>
        <v>0</v>
      </c>
      <c r="E39" s="5" t="s">
        <v>349</v>
      </c>
      <c r="F39" s="128">
        <f>D39*0.3</f>
        <v>0</v>
      </c>
      <c r="G39" s="122"/>
    </row>
    <row r="40" spans="1:7" ht="3" customHeight="1" x14ac:dyDescent="0.25">
      <c r="A40" s="121"/>
      <c r="B40" s="5"/>
      <c r="C40" s="5"/>
      <c r="D40" s="5"/>
      <c r="E40" s="5"/>
      <c r="F40" s="129"/>
      <c r="G40" s="122"/>
    </row>
    <row r="41" spans="1:7" x14ac:dyDescent="0.25">
      <c r="A41" s="121"/>
      <c r="B41" s="5"/>
      <c r="C41" s="5"/>
      <c r="D41" s="5"/>
      <c r="E41" s="5"/>
      <c r="F41" s="5"/>
      <c r="G41" s="122"/>
    </row>
    <row r="42" spans="1:7" ht="15.75" thickBot="1" x14ac:dyDescent="0.3">
      <c r="A42" s="121"/>
      <c r="B42" s="5"/>
      <c r="C42" s="5"/>
      <c r="D42" s="421" t="s">
        <v>352</v>
      </c>
      <c r="E42" s="421"/>
      <c r="F42" s="130">
        <f>F39+F37</f>
        <v>25</v>
      </c>
      <c r="G42" s="122"/>
    </row>
    <row r="43" spans="1:7" ht="15.75" thickTop="1" x14ac:dyDescent="0.25">
      <c r="A43" s="121"/>
      <c r="B43" s="5"/>
      <c r="C43" s="5"/>
      <c r="D43" s="5"/>
      <c r="E43" s="5"/>
      <c r="F43" s="5"/>
      <c r="G43" s="122"/>
    </row>
    <row r="44" spans="1:7" x14ac:dyDescent="0.25">
      <c r="A44" s="121" t="s">
        <v>351</v>
      </c>
      <c r="B44" s="5"/>
      <c r="C44" s="5"/>
      <c r="D44" s="411">
        <f>Grundeinstellungen!D23</f>
        <v>0</v>
      </c>
      <c r="E44" s="411"/>
      <c r="F44" s="411"/>
      <c r="G44" s="122"/>
    </row>
    <row r="45" spans="1:7" x14ac:dyDescent="0.25">
      <c r="A45" s="121"/>
      <c r="B45" s="5"/>
      <c r="C45" s="5"/>
      <c r="D45" s="5"/>
      <c r="E45" s="5"/>
      <c r="F45" s="5"/>
      <c r="G45" s="122"/>
    </row>
    <row r="46" spans="1:7" x14ac:dyDescent="0.25">
      <c r="A46" s="125"/>
      <c r="B46" s="10"/>
      <c r="C46" s="10"/>
      <c r="D46" s="5"/>
      <c r="E46" s="5"/>
      <c r="F46" s="5"/>
      <c r="G46" s="122"/>
    </row>
    <row r="47" spans="1:7" x14ac:dyDescent="0.25">
      <c r="A47" s="121"/>
      <c r="B47" s="5"/>
      <c r="C47" s="5"/>
      <c r="D47" s="5"/>
      <c r="E47" s="5"/>
      <c r="F47" s="5"/>
      <c r="G47" s="122"/>
    </row>
    <row r="48" spans="1:7" x14ac:dyDescent="0.25">
      <c r="A48" s="121"/>
      <c r="B48" s="5"/>
      <c r="C48" s="5"/>
      <c r="D48" s="5"/>
      <c r="E48" s="5"/>
      <c r="F48" s="5"/>
      <c r="G48" s="122"/>
    </row>
    <row r="49" spans="1:7" x14ac:dyDescent="0.25">
      <c r="A49" s="417" t="str">
        <f>E30 &amp; ","</f>
        <v>,</v>
      </c>
      <c r="B49" s="418"/>
      <c r="C49" s="416">
        <f ca="1">C30</f>
        <v>42418</v>
      </c>
      <c r="D49" s="416"/>
      <c r="E49" s="411"/>
      <c r="F49" s="411"/>
      <c r="G49" s="412"/>
    </row>
    <row r="50" spans="1:7" ht="15.75" thickBot="1" x14ac:dyDescent="0.3">
      <c r="A50" s="123"/>
      <c r="B50" s="124"/>
      <c r="C50" s="124"/>
      <c r="D50" s="124"/>
      <c r="E50" s="414" t="s">
        <v>353</v>
      </c>
      <c r="F50" s="414"/>
      <c r="G50" s="415"/>
    </row>
  </sheetData>
  <mergeCells count="25">
    <mergeCell ref="E50:G50"/>
    <mergeCell ref="A30:B30"/>
    <mergeCell ref="E30:G30"/>
    <mergeCell ref="A33:C33"/>
    <mergeCell ref="E33:G33"/>
    <mergeCell ref="A37:C37"/>
    <mergeCell ref="A39:C39"/>
    <mergeCell ref="D42:E42"/>
    <mergeCell ref="D44:F44"/>
    <mergeCell ref="A49:B49"/>
    <mergeCell ref="C49:D49"/>
    <mergeCell ref="E49:G49"/>
    <mergeCell ref="E26:G26"/>
    <mergeCell ref="E27:G27"/>
    <mergeCell ref="C26:D26"/>
    <mergeCell ref="A26:B26"/>
    <mergeCell ref="A14:C14"/>
    <mergeCell ref="A16:C16"/>
    <mergeCell ref="D19:E19"/>
    <mergeCell ref="D21:F21"/>
    <mergeCell ref="A1:G4"/>
    <mergeCell ref="A7:B7"/>
    <mergeCell ref="E7:G7"/>
    <mergeCell ref="A10:C10"/>
    <mergeCell ref="E10:G10"/>
  </mergeCells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4"/>
  <dimension ref="A1:AQ66"/>
  <sheetViews>
    <sheetView topLeftCell="D33" zoomScaleNormal="100" workbookViewId="0">
      <selection activeCell="F33" sqref="F33:G33"/>
    </sheetView>
  </sheetViews>
  <sheetFormatPr baseColWidth="10" defaultRowHeight="15" x14ac:dyDescent="0.25"/>
  <cols>
    <col min="1" max="1" width="24.42578125" hidden="1" customWidth="1"/>
    <col min="2" max="3" width="11.42578125" hidden="1" customWidth="1"/>
    <col min="5" max="5" width="4.28515625" customWidth="1"/>
    <col min="10" max="10" width="4.28515625" customWidth="1"/>
    <col min="11" max="16" width="2.85546875" customWidth="1"/>
    <col min="17" max="21" width="5.7109375" customWidth="1"/>
    <col min="22" max="22" width="17.7109375" hidden="1" customWidth="1"/>
    <col min="28" max="29" width="11.42578125" hidden="1" customWidth="1"/>
    <col min="31" max="31" width="18" hidden="1" customWidth="1"/>
    <col min="32" max="32" width="16.85546875" hidden="1" customWidth="1"/>
    <col min="33" max="35" width="11.42578125" hidden="1" customWidth="1"/>
    <col min="36" max="43" width="0" hidden="1" customWidth="1"/>
  </cols>
  <sheetData>
    <row r="1" spans="1:43" x14ac:dyDescent="0.25">
      <c r="D1" s="5"/>
      <c r="E1" s="5"/>
      <c r="F1" s="379">
        <f>Grundeinstellungen!D14</f>
        <v>0</v>
      </c>
      <c r="G1" s="379"/>
      <c r="H1" s="379"/>
      <c r="I1" s="5"/>
      <c r="J1" s="5"/>
      <c r="K1" s="5"/>
      <c r="L1" s="5"/>
      <c r="M1" s="5"/>
      <c r="N1" s="5"/>
      <c r="O1" s="5"/>
      <c r="P1" s="5"/>
      <c r="Q1" s="5"/>
      <c r="W1" s="2"/>
      <c r="Y1" s="53">
        <v>1</v>
      </c>
    </row>
    <row r="2" spans="1:43" x14ac:dyDescent="0.25">
      <c r="B2" s="9"/>
      <c r="C2" s="9"/>
      <c r="D2" s="420" t="s">
        <v>35</v>
      </c>
      <c r="E2" s="420"/>
      <c r="F2" s="382"/>
      <c r="G2" s="382"/>
      <c r="H2" s="382"/>
      <c r="I2" s="420" t="s">
        <v>34</v>
      </c>
      <c r="J2" s="420"/>
      <c r="K2" s="420"/>
      <c r="L2" s="420"/>
      <c r="M2" s="420"/>
      <c r="N2" s="420"/>
      <c r="O2" s="134"/>
      <c r="P2" s="382" t="s">
        <v>32</v>
      </c>
      <c r="Q2" s="382"/>
      <c r="R2" s="382"/>
      <c r="S2" s="382"/>
      <c r="T2" s="438" t="s">
        <v>33</v>
      </c>
      <c r="U2" s="438"/>
      <c r="V2" s="11"/>
      <c r="W2" s="13">
        <f ca="1">TODAY()</f>
        <v>42418</v>
      </c>
      <c r="X2" s="2"/>
    </row>
    <row r="3" spans="1:43" ht="15.75" thickBot="1" x14ac:dyDescent="0.3">
      <c r="D3" s="5"/>
      <c r="E3" s="5"/>
      <c r="F3" s="5"/>
      <c r="G3" s="5"/>
      <c r="H3" s="5"/>
      <c r="I3" s="5"/>
      <c r="J3" s="5"/>
      <c r="K3" s="52">
        <f>IF($Y$1=1,COUNTIF(K5:K16,"x"),-1)</f>
        <v>0</v>
      </c>
      <c r="L3" s="52">
        <f>IF($Y$1=1,COUNTIF(L5:L16,"x"),-1)</f>
        <v>0</v>
      </c>
      <c r="M3" s="52">
        <f>IF($Y$1=1,COUNTIF(M17:M28,"x"),-1)</f>
        <v>0</v>
      </c>
      <c r="N3" s="52">
        <f>IF($Y$1=1,COUNTIF(N17:N28,"x"),-1)</f>
        <v>0</v>
      </c>
      <c r="O3" s="52">
        <f>IF($Y$1=1,COUNTIF(O5:O16,"x"),-1)</f>
        <v>0</v>
      </c>
      <c r="P3" s="52">
        <f t="shared" ref="P3" si="0">IF($Y$1=1,COUNTIF(P5:P16,"x"),-1)</f>
        <v>0</v>
      </c>
      <c r="Q3" s="52">
        <f>IF($Y$1=1,COUNTIF(Q5:Q16,"x"),-1)</f>
        <v>0</v>
      </c>
      <c r="R3" s="52">
        <f>IF($Y$1=1,COUNTIF(R17:R28,"x"),-1)</f>
        <v>0</v>
      </c>
      <c r="S3" s="52">
        <f>IF($Y$1=1,COUNTIF(S5:S28,"x"),-1)</f>
        <v>0</v>
      </c>
      <c r="T3" s="52">
        <f t="shared" ref="T3:U3" si="1">IF($Y$1=1,COUNTIF(T5:T16,"x"),-1)</f>
        <v>0</v>
      </c>
      <c r="U3" s="52">
        <f t="shared" si="1"/>
        <v>0</v>
      </c>
      <c r="V3" s="52">
        <f>SUM(K3:P3)</f>
        <v>0</v>
      </c>
      <c r="AB3" s="1">
        <f>SUM(K3:U3)</f>
        <v>0</v>
      </c>
    </row>
    <row r="4" spans="1:43" ht="15.75" thickBot="1" x14ac:dyDescent="0.3">
      <c r="D4" s="5"/>
      <c r="E4" s="41" t="s">
        <v>36</v>
      </c>
      <c r="F4" s="428" t="s">
        <v>28</v>
      </c>
      <c r="G4" s="429"/>
      <c r="H4" s="429" t="s">
        <v>27</v>
      </c>
      <c r="I4" s="429"/>
      <c r="J4" s="21" t="s">
        <v>51</v>
      </c>
      <c r="K4" s="422" t="s">
        <v>52</v>
      </c>
      <c r="L4" s="423"/>
      <c r="M4" s="423" t="s">
        <v>53</v>
      </c>
      <c r="N4" s="424"/>
      <c r="O4" s="422" t="s">
        <v>54</v>
      </c>
      <c r="P4" s="423"/>
      <c r="Q4" s="28" t="s">
        <v>55</v>
      </c>
      <c r="R4" s="29" t="s">
        <v>56</v>
      </c>
      <c r="S4" s="28" t="s">
        <v>57</v>
      </c>
      <c r="T4" s="27" t="s">
        <v>58</v>
      </c>
      <c r="U4" s="28" t="s">
        <v>59</v>
      </c>
      <c r="V4" s="14"/>
      <c r="AE4" t="s">
        <v>315</v>
      </c>
      <c r="AF4" t="s">
        <v>316</v>
      </c>
      <c r="AI4" s="1">
        <f>IF(AH4="",0,1)</f>
        <v>0</v>
      </c>
      <c r="AJ4" t="s">
        <v>751</v>
      </c>
      <c r="AK4" t="s">
        <v>752</v>
      </c>
      <c r="AL4" t="s">
        <v>753</v>
      </c>
      <c r="AM4" t="s">
        <v>754</v>
      </c>
      <c r="AN4" t="s">
        <v>755</v>
      </c>
      <c r="AO4" t="s">
        <v>756</v>
      </c>
      <c r="AP4" t="s">
        <v>757</v>
      </c>
      <c r="AQ4" t="s">
        <v>758</v>
      </c>
    </row>
    <row r="5" spans="1:43" x14ac:dyDescent="0.25">
      <c r="A5" t="e">
        <f>H5 &amp; " " &amp; F5</f>
        <v>#N/A</v>
      </c>
      <c r="B5" s="1" t="e">
        <f>IF(J5=0,0,1)</f>
        <v>#N/A</v>
      </c>
      <c r="C5" s="1"/>
      <c r="D5" s="5"/>
      <c r="E5" s="40" t="s">
        <v>15</v>
      </c>
      <c r="F5" s="430" t="e">
        <f>VLOOKUP($F$1,Ranglisten!$A$23:$AW$42,2,FALSE)</f>
        <v>#N/A</v>
      </c>
      <c r="G5" s="431"/>
      <c r="H5" s="431" t="e">
        <f>VLOOKUP($F$1,Ranglisten!$A$23:$AW$42,3,FALSE)</f>
        <v>#N/A</v>
      </c>
      <c r="I5" s="431"/>
      <c r="J5" s="26" t="e">
        <f>VLOOKUP($F$1,Ranglisten!$A$23:$AW$42,4,FALSE)</f>
        <v>#N/A</v>
      </c>
      <c r="K5" s="137"/>
      <c r="L5" s="138"/>
      <c r="M5" s="151"/>
      <c r="N5" s="152"/>
      <c r="O5" s="163"/>
      <c r="P5" s="138"/>
      <c r="Q5" s="46"/>
      <c r="R5" s="33"/>
      <c r="S5" s="46"/>
      <c r="T5" s="48"/>
      <c r="U5" s="46"/>
      <c r="V5" s="72" t="e">
        <f>H5 &amp; " " &amp; F5</f>
        <v>#N/A</v>
      </c>
      <c r="W5" s="1">
        <f>IF($Y$1=1,IF(AQ5&gt;0,3,COUNTIF(K5:U5,"x")),-1)</f>
        <v>0</v>
      </c>
      <c r="AE5" t="e">
        <f>IF(J5=0,V5,"")</f>
        <v>#N/A</v>
      </c>
      <c r="AF5" s="1">
        <f>COUNTIF(K5:U5,"x")</f>
        <v>0</v>
      </c>
      <c r="AG5" t="str">
        <f>IF(AF5&gt;0,AE5,"")</f>
        <v/>
      </c>
      <c r="AH5" t="str">
        <f>IF(AI5=0,"",IF(AI5&gt;0,IF(AG6="",""," / "),""))</f>
        <v/>
      </c>
      <c r="AI5" s="1">
        <f>IF(AG5="",AI4,1+AI4)</f>
        <v>0</v>
      </c>
      <c r="AJ5" s="140">
        <f>COUNTIF(K5:P5,"x")</f>
        <v>0</v>
      </c>
      <c r="AK5" s="140">
        <f>COUNTIF(Q5,"x")</f>
        <v>0</v>
      </c>
      <c r="AL5" s="140">
        <f>COUNTIF(T5,"x")</f>
        <v>0</v>
      </c>
      <c r="AM5" s="140">
        <f>COUNTIF(U5,"x")</f>
        <v>0</v>
      </c>
      <c r="AN5" s="140">
        <f>AM5+AL5+AK5</f>
        <v>0</v>
      </c>
      <c r="AO5" s="140">
        <f>IF(AJ5&gt;1,1,0)</f>
        <v>0</v>
      </c>
      <c r="AP5">
        <f>IF(AN5&gt;1,1,0)</f>
        <v>0</v>
      </c>
      <c r="AQ5" s="140">
        <f>AP5+AO5</f>
        <v>0</v>
      </c>
    </row>
    <row r="6" spans="1:43" x14ac:dyDescent="0.25">
      <c r="A6" t="e">
        <f t="shared" ref="A6:A30" si="2">H6 &amp; " " &amp; F6</f>
        <v>#N/A</v>
      </c>
      <c r="B6" s="1" t="e">
        <f t="shared" ref="B6:B28" si="3">IF(J6=0,0,1)</f>
        <v>#N/A</v>
      </c>
      <c r="C6" s="1"/>
      <c r="D6" s="5"/>
      <c r="E6" s="18" t="s">
        <v>16</v>
      </c>
      <c r="F6" s="432" t="e">
        <f>VLOOKUP($F$1,Ranglisten!$A$23:$AW$42,5,FALSE)</f>
        <v>#N/A</v>
      </c>
      <c r="G6" s="433"/>
      <c r="H6" s="433" t="e">
        <f>VLOOKUP($F$1,Ranglisten!$A$23:$AW$42,6,FALSE)</f>
        <v>#N/A</v>
      </c>
      <c r="I6" s="433"/>
      <c r="J6" s="23" t="e">
        <f>VLOOKUP($F$1,Ranglisten!$A$23:$AW$42,7,FALSE)</f>
        <v>#N/A</v>
      </c>
      <c r="K6" s="135"/>
      <c r="L6" s="136"/>
      <c r="M6" s="153"/>
      <c r="N6" s="154"/>
      <c r="O6" s="146"/>
      <c r="P6" s="136"/>
      <c r="Q6" s="44"/>
      <c r="R6" s="31"/>
      <c r="S6" s="44"/>
      <c r="T6" s="49"/>
      <c r="U6" s="44"/>
      <c r="V6" s="72" t="e">
        <f t="shared" ref="V6:V33" si="4">H6 &amp; " " &amp; F6</f>
        <v>#N/A</v>
      </c>
      <c r="W6" s="140">
        <f t="shared" ref="W6:W28" si="5">IF($Y$1=1,IF(AQ6&gt;0,3,COUNTIF(K6:U6,"x")),-1)</f>
        <v>0</v>
      </c>
      <c r="AE6" t="e">
        <f t="shared" ref="AE6:AE28" si="6">IF(J6=0,V6,"")</f>
        <v>#N/A</v>
      </c>
      <c r="AF6" s="1">
        <f t="shared" ref="AF6:AF28" si="7">COUNTIF(K6:U6,"x")</f>
        <v>0</v>
      </c>
      <c r="AG6" t="str">
        <f t="shared" ref="AG6:AG28" si="8">IF(AF6&gt;0,AE6,"")</f>
        <v/>
      </c>
      <c r="AH6" t="str">
        <f t="shared" ref="AH6:AH28" si="9">IF(AI6=0,"",IF(AI6&gt;0,IF(AG7="",""," / "),""))</f>
        <v/>
      </c>
      <c r="AI6" s="1">
        <f t="shared" ref="AI6:AI8" si="10">IF(AG6="",AI5,1+AI5)</f>
        <v>0</v>
      </c>
      <c r="AJ6" s="140">
        <f t="shared" ref="AJ6:AJ28" si="11">COUNTIF(K6:P6,"x")</f>
        <v>0</v>
      </c>
      <c r="AK6" s="140">
        <f t="shared" ref="AK6:AK28" si="12">COUNTIF(Q6,"x")</f>
        <v>0</v>
      </c>
      <c r="AL6" s="140">
        <f t="shared" ref="AL6:AL28" si="13">COUNTIF(T6,"x")</f>
        <v>0</v>
      </c>
      <c r="AM6" s="140">
        <f t="shared" ref="AM6:AM28" si="14">COUNTIF(U6,"x")</f>
        <v>0</v>
      </c>
      <c r="AN6" s="140">
        <f t="shared" ref="AN6:AN28" si="15">AM6+AL6+AK6</f>
        <v>0</v>
      </c>
      <c r="AO6" s="140">
        <f t="shared" ref="AO6:AO28" si="16">IF(AJ6&gt;1,1,0)</f>
        <v>0</v>
      </c>
      <c r="AP6">
        <f t="shared" ref="AP6:AP28" si="17">IF(AN6&gt;1,1,0)</f>
        <v>0</v>
      </c>
      <c r="AQ6" s="140">
        <f t="shared" ref="AQ6:AQ28" si="18">AP6+AO6</f>
        <v>0</v>
      </c>
    </row>
    <row r="7" spans="1:43" x14ac:dyDescent="0.25">
      <c r="A7" t="e">
        <f t="shared" si="2"/>
        <v>#N/A</v>
      </c>
      <c r="B7" s="1" t="e">
        <f t="shared" si="3"/>
        <v>#N/A</v>
      </c>
      <c r="C7" s="1"/>
      <c r="D7" s="5"/>
      <c r="E7" s="18" t="s">
        <v>17</v>
      </c>
      <c r="F7" s="432" t="e">
        <f>VLOOKUP($F$1,Ranglisten!$A$23:$AW$42,8,FALSE)</f>
        <v>#N/A</v>
      </c>
      <c r="G7" s="433"/>
      <c r="H7" s="433" t="e">
        <f>VLOOKUP($F$1,Ranglisten!$A$23:$AW$42,9,FALSE)</f>
        <v>#N/A</v>
      </c>
      <c r="I7" s="433"/>
      <c r="J7" s="23" t="e">
        <f>VLOOKUP($F$1,Ranglisten!$A$23:$AW$42,10,FALSE)</f>
        <v>#N/A</v>
      </c>
      <c r="K7" s="135"/>
      <c r="L7" s="136"/>
      <c r="M7" s="153"/>
      <c r="N7" s="154"/>
      <c r="O7" s="146"/>
      <c r="P7" s="136"/>
      <c r="Q7" s="44"/>
      <c r="R7" s="31"/>
      <c r="S7" s="44"/>
      <c r="T7" s="49"/>
      <c r="U7" s="44"/>
      <c r="V7" s="72" t="e">
        <f t="shared" si="4"/>
        <v>#N/A</v>
      </c>
      <c r="W7" s="140">
        <f t="shared" si="5"/>
        <v>0</v>
      </c>
      <c r="AE7" t="e">
        <f t="shared" si="6"/>
        <v>#N/A</v>
      </c>
      <c r="AF7" s="1">
        <f t="shared" si="7"/>
        <v>0</v>
      </c>
      <c r="AG7" t="str">
        <f t="shared" si="8"/>
        <v/>
      </c>
      <c r="AH7" t="str">
        <f t="shared" si="9"/>
        <v/>
      </c>
      <c r="AI7" s="1">
        <f t="shared" si="10"/>
        <v>0</v>
      </c>
      <c r="AJ7" s="140">
        <f t="shared" si="11"/>
        <v>0</v>
      </c>
      <c r="AK7" s="140">
        <f t="shared" si="12"/>
        <v>0</v>
      </c>
      <c r="AL7" s="140">
        <f t="shared" si="13"/>
        <v>0</v>
      </c>
      <c r="AM7" s="140">
        <f t="shared" si="14"/>
        <v>0</v>
      </c>
      <c r="AN7" s="140">
        <f t="shared" si="15"/>
        <v>0</v>
      </c>
      <c r="AO7" s="140">
        <f t="shared" si="16"/>
        <v>0</v>
      </c>
      <c r="AP7">
        <f t="shared" si="17"/>
        <v>0</v>
      </c>
      <c r="AQ7" s="140">
        <f t="shared" si="18"/>
        <v>0</v>
      </c>
    </row>
    <row r="8" spans="1:43" x14ac:dyDescent="0.25">
      <c r="A8" t="e">
        <f t="shared" si="2"/>
        <v>#N/A</v>
      </c>
      <c r="B8" s="1" t="e">
        <f t="shared" si="3"/>
        <v>#N/A</v>
      </c>
      <c r="C8" s="1"/>
      <c r="D8" s="5"/>
      <c r="E8" s="18" t="s">
        <v>18</v>
      </c>
      <c r="F8" s="432" t="e">
        <f>VLOOKUP($F$1,Ranglisten!$A$23:$AW$42,11,FALSE)</f>
        <v>#N/A</v>
      </c>
      <c r="G8" s="433"/>
      <c r="H8" s="433" t="e">
        <f>VLOOKUP($F$1,Ranglisten!$A$23:$AW$42,12,FALSE)</f>
        <v>#N/A</v>
      </c>
      <c r="I8" s="433"/>
      <c r="J8" s="23" t="e">
        <f>VLOOKUP($F$1,Ranglisten!$A$23:$AW$42,13,FALSE)</f>
        <v>#N/A</v>
      </c>
      <c r="K8" s="135"/>
      <c r="L8" s="136"/>
      <c r="M8" s="153"/>
      <c r="N8" s="154"/>
      <c r="O8" s="146"/>
      <c r="P8" s="136"/>
      <c r="Q8" s="44"/>
      <c r="R8" s="31"/>
      <c r="S8" s="44"/>
      <c r="T8" s="49"/>
      <c r="U8" s="44"/>
      <c r="V8" s="72" t="e">
        <f t="shared" si="4"/>
        <v>#N/A</v>
      </c>
      <c r="W8" s="140">
        <f t="shared" si="5"/>
        <v>0</v>
      </c>
      <c r="AE8" t="e">
        <f t="shared" si="6"/>
        <v>#N/A</v>
      </c>
      <c r="AF8" s="1">
        <f t="shared" si="7"/>
        <v>0</v>
      </c>
      <c r="AG8" t="str">
        <f t="shared" si="8"/>
        <v/>
      </c>
      <c r="AH8" t="str">
        <f t="shared" si="9"/>
        <v/>
      </c>
      <c r="AI8" s="1">
        <f t="shared" si="10"/>
        <v>0</v>
      </c>
      <c r="AJ8" s="140">
        <f t="shared" si="11"/>
        <v>0</v>
      </c>
      <c r="AK8" s="140">
        <f t="shared" si="12"/>
        <v>0</v>
      </c>
      <c r="AL8" s="140">
        <f t="shared" si="13"/>
        <v>0</v>
      </c>
      <c r="AM8" s="140">
        <f t="shared" si="14"/>
        <v>0</v>
      </c>
      <c r="AN8" s="140">
        <f t="shared" si="15"/>
        <v>0</v>
      </c>
      <c r="AO8" s="140">
        <f t="shared" si="16"/>
        <v>0</v>
      </c>
      <c r="AP8">
        <f t="shared" si="17"/>
        <v>0</v>
      </c>
      <c r="AQ8" s="140">
        <f t="shared" si="18"/>
        <v>0</v>
      </c>
    </row>
    <row r="9" spans="1:43" x14ac:dyDescent="0.25">
      <c r="A9" t="e">
        <f t="shared" si="2"/>
        <v>#N/A</v>
      </c>
      <c r="B9" s="1" t="e">
        <f t="shared" si="3"/>
        <v>#N/A</v>
      </c>
      <c r="C9" s="1"/>
      <c r="D9" s="5"/>
      <c r="E9" s="18" t="s">
        <v>19</v>
      </c>
      <c r="F9" s="432" t="e">
        <f>VLOOKUP($F$1,Ranglisten!$A$23:$AW$42,14,FALSE)</f>
        <v>#N/A</v>
      </c>
      <c r="G9" s="433"/>
      <c r="H9" s="433" t="e">
        <f>VLOOKUP($F$1,Ranglisten!$A$23:$AW$42,15,FALSE)</f>
        <v>#N/A</v>
      </c>
      <c r="I9" s="433"/>
      <c r="J9" s="23" t="e">
        <f>VLOOKUP($F$1,Ranglisten!$A$23:$AW$42,16,FALSE)</f>
        <v>#N/A</v>
      </c>
      <c r="K9" s="135"/>
      <c r="L9" s="136"/>
      <c r="M9" s="153"/>
      <c r="N9" s="154"/>
      <c r="O9" s="146"/>
      <c r="P9" s="136"/>
      <c r="Q9" s="44"/>
      <c r="R9" s="31"/>
      <c r="S9" s="44"/>
      <c r="T9" s="49"/>
      <c r="U9" s="44"/>
      <c r="V9" s="72" t="e">
        <f t="shared" si="4"/>
        <v>#N/A</v>
      </c>
      <c r="W9" s="140">
        <f t="shared" si="5"/>
        <v>0</v>
      </c>
      <c r="AE9" t="e">
        <f t="shared" si="6"/>
        <v>#N/A</v>
      </c>
      <c r="AF9" s="1">
        <f t="shared" si="7"/>
        <v>0</v>
      </c>
      <c r="AG9" t="str">
        <f t="shared" si="8"/>
        <v/>
      </c>
      <c r="AH9" t="str">
        <f t="shared" si="9"/>
        <v/>
      </c>
      <c r="AI9" s="1">
        <f>IF(AG9="",AI8,1+AI8)</f>
        <v>0</v>
      </c>
      <c r="AJ9" s="140">
        <f t="shared" si="11"/>
        <v>0</v>
      </c>
      <c r="AK9" s="140">
        <f t="shared" si="12"/>
        <v>0</v>
      </c>
      <c r="AL9" s="140">
        <f t="shared" si="13"/>
        <v>0</v>
      </c>
      <c r="AM9" s="140">
        <f t="shared" si="14"/>
        <v>0</v>
      </c>
      <c r="AN9" s="140">
        <f t="shared" si="15"/>
        <v>0</v>
      </c>
      <c r="AO9" s="140">
        <f t="shared" si="16"/>
        <v>0</v>
      </c>
      <c r="AP9">
        <f t="shared" si="17"/>
        <v>0</v>
      </c>
      <c r="AQ9" s="140">
        <f t="shared" si="18"/>
        <v>0</v>
      </c>
    </row>
    <row r="10" spans="1:43" x14ac:dyDescent="0.25">
      <c r="A10" t="e">
        <f t="shared" si="2"/>
        <v>#N/A</v>
      </c>
      <c r="B10" s="1" t="e">
        <f t="shared" si="3"/>
        <v>#N/A</v>
      </c>
      <c r="C10" s="1"/>
      <c r="D10" s="5"/>
      <c r="E10" s="18" t="s">
        <v>20</v>
      </c>
      <c r="F10" s="432" t="e">
        <f>VLOOKUP($F$1,Ranglisten!$A$23:$AW$42,17,FALSE)</f>
        <v>#N/A</v>
      </c>
      <c r="G10" s="433"/>
      <c r="H10" s="433" t="e">
        <f>VLOOKUP($F$1,Ranglisten!$A$23:$AW$42,18,FALSE)</f>
        <v>#N/A</v>
      </c>
      <c r="I10" s="433"/>
      <c r="J10" s="23" t="e">
        <f>VLOOKUP($F$1,Ranglisten!$A$23:$AW$42,19,FALSE)</f>
        <v>#N/A</v>
      </c>
      <c r="K10" s="135"/>
      <c r="L10" s="136"/>
      <c r="M10" s="153"/>
      <c r="N10" s="154"/>
      <c r="O10" s="146"/>
      <c r="P10" s="2"/>
      <c r="Q10" s="44"/>
      <c r="R10" s="31"/>
      <c r="S10" s="44"/>
      <c r="T10" s="49"/>
      <c r="U10" s="44"/>
      <c r="V10" s="72" t="e">
        <f t="shared" si="4"/>
        <v>#N/A</v>
      </c>
      <c r="W10" s="140">
        <f t="shared" si="5"/>
        <v>0</v>
      </c>
      <c r="AE10" t="e">
        <f t="shared" si="6"/>
        <v>#N/A</v>
      </c>
      <c r="AF10" s="1">
        <f t="shared" si="7"/>
        <v>0</v>
      </c>
      <c r="AG10" t="str">
        <f t="shared" si="8"/>
        <v/>
      </c>
      <c r="AH10" t="str">
        <f t="shared" si="9"/>
        <v/>
      </c>
      <c r="AI10" s="1">
        <f t="shared" ref="AI10:AI28" si="19">IF(AG10="",AI9,1+AI9)</f>
        <v>0</v>
      </c>
      <c r="AJ10" s="140">
        <f t="shared" si="11"/>
        <v>0</v>
      </c>
      <c r="AK10" s="140">
        <f t="shared" si="12"/>
        <v>0</v>
      </c>
      <c r="AL10" s="140">
        <f t="shared" si="13"/>
        <v>0</v>
      </c>
      <c r="AM10" s="140">
        <f t="shared" si="14"/>
        <v>0</v>
      </c>
      <c r="AN10" s="140">
        <f t="shared" si="15"/>
        <v>0</v>
      </c>
      <c r="AO10" s="140">
        <f t="shared" si="16"/>
        <v>0</v>
      </c>
      <c r="AP10">
        <f t="shared" si="17"/>
        <v>0</v>
      </c>
      <c r="AQ10" s="140">
        <f t="shared" si="18"/>
        <v>0</v>
      </c>
    </row>
    <row r="11" spans="1:43" x14ac:dyDescent="0.25">
      <c r="A11" t="e">
        <f t="shared" si="2"/>
        <v>#N/A</v>
      </c>
      <c r="B11" s="1" t="e">
        <f t="shared" si="3"/>
        <v>#N/A</v>
      </c>
      <c r="C11" s="1"/>
      <c r="D11" s="5"/>
      <c r="E11" s="18" t="s">
        <v>21</v>
      </c>
      <c r="F11" s="432" t="e">
        <f>VLOOKUP($F$1,Ranglisten!$A$23:$AW$42,20,FALSE)</f>
        <v>#N/A</v>
      </c>
      <c r="G11" s="433"/>
      <c r="H11" s="433" t="e">
        <f>VLOOKUP($F$1,Ranglisten!$A$23:$AW$42,21,FALSE)</f>
        <v>#N/A</v>
      </c>
      <c r="I11" s="433"/>
      <c r="J11" s="23" t="e">
        <f>VLOOKUP($F$1,Ranglisten!$A$23:$AW$42,22,FALSE)</f>
        <v>#N/A</v>
      </c>
      <c r="K11" s="135"/>
      <c r="L11" s="136"/>
      <c r="M11" s="153"/>
      <c r="N11" s="154"/>
      <c r="O11" s="146"/>
      <c r="P11" s="136"/>
      <c r="Q11" s="44"/>
      <c r="R11" s="31"/>
      <c r="S11" s="44"/>
      <c r="T11" s="49"/>
      <c r="U11" s="44"/>
      <c r="V11" s="72" t="e">
        <f t="shared" si="4"/>
        <v>#N/A</v>
      </c>
      <c r="W11" s="140">
        <f t="shared" si="5"/>
        <v>0</v>
      </c>
      <c r="AE11" t="e">
        <f t="shared" si="6"/>
        <v>#N/A</v>
      </c>
      <c r="AF11" s="1">
        <f t="shared" si="7"/>
        <v>0</v>
      </c>
      <c r="AG11" t="str">
        <f t="shared" si="8"/>
        <v/>
      </c>
      <c r="AH11" t="str">
        <f t="shared" si="9"/>
        <v/>
      </c>
      <c r="AI11" s="1">
        <f t="shared" si="19"/>
        <v>0</v>
      </c>
      <c r="AJ11" s="140">
        <f t="shared" si="11"/>
        <v>0</v>
      </c>
      <c r="AK11" s="140">
        <f t="shared" si="12"/>
        <v>0</v>
      </c>
      <c r="AL11" s="140">
        <f t="shared" si="13"/>
        <v>0</v>
      </c>
      <c r="AM11" s="140">
        <f t="shared" si="14"/>
        <v>0</v>
      </c>
      <c r="AN11" s="140">
        <f t="shared" si="15"/>
        <v>0</v>
      </c>
      <c r="AO11" s="140">
        <f t="shared" si="16"/>
        <v>0</v>
      </c>
      <c r="AP11">
        <f t="shared" si="17"/>
        <v>0</v>
      </c>
      <c r="AQ11" s="140">
        <f t="shared" si="18"/>
        <v>0</v>
      </c>
    </row>
    <row r="12" spans="1:43" x14ac:dyDescent="0.25">
      <c r="A12" t="e">
        <f t="shared" si="2"/>
        <v>#N/A</v>
      </c>
      <c r="B12" s="1" t="e">
        <f t="shared" si="3"/>
        <v>#N/A</v>
      </c>
      <c r="C12" s="1"/>
      <c r="D12" s="5"/>
      <c r="E12" s="18" t="s">
        <v>22</v>
      </c>
      <c r="F12" s="432" t="e">
        <f>VLOOKUP($F$1,Ranglisten!$A$23:$AW$42,23,FALSE)</f>
        <v>#N/A</v>
      </c>
      <c r="G12" s="433"/>
      <c r="H12" s="433" t="e">
        <f>VLOOKUP($F$1,Ranglisten!$A$23:$AW$42,24,FALSE)</f>
        <v>#N/A</v>
      </c>
      <c r="I12" s="433"/>
      <c r="J12" s="23" t="e">
        <f>VLOOKUP($F$1,Ranglisten!$A$23:$AW$42,25,FALSE)</f>
        <v>#N/A</v>
      </c>
      <c r="K12" s="135"/>
      <c r="L12" s="136"/>
      <c r="M12" s="153"/>
      <c r="N12" s="154"/>
      <c r="O12" s="146"/>
      <c r="P12" s="136"/>
      <c r="Q12" s="44"/>
      <c r="R12" s="31"/>
      <c r="S12" s="44"/>
      <c r="T12" s="49"/>
      <c r="U12" s="44"/>
      <c r="V12" s="72" t="e">
        <f t="shared" si="4"/>
        <v>#N/A</v>
      </c>
      <c r="W12" s="140">
        <f t="shared" si="5"/>
        <v>0</v>
      </c>
      <c r="AE12" t="e">
        <f t="shared" si="6"/>
        <v>#N/A</v>
      </c>
      <c r="AF12" s="1">
        <f t="shared" si="7"/>
        <v>0</v>
      </c>
      <c r="AG12" t="str">
        <f t="shared" si="8"/>
        <v/>
      </c>
      <c r="AH12" t="str">
        <f t="shared" si="9"/>
        <v/>
      </c>
      <c r="AI12" s="1">
        <f t="shared" si="19"/>
        <v>0</v>
      </c>
      <c r="AJ12" s="140">
        <f t="shared" si="11"/>
        <v>0</v>
      </c>
      <c r="AK12" s="140">
        <f t="shared" si="12"/>
        <v>0</v>
      </c>
      <c r="AL12" s="140">
        <f t="shared" si="13"/>
        <v>0</v>
      </c>
      <c r="AM12" s="140">
        <f t="shared" si="14"/>
        <v>0</v>
      </c>
      <c r="AN12" s="140">
        <f t="shared" si="15"/>
        <v>0</v>
      </c>
      <c r="AO12" s="140">
        <f t="shared" si="16"/>
        <v>0</v>
      </c>
      <c r="AP12">
        <f t="shared" si="17"/>
        <v>0</v>
      </c>
      <c r="AQ12" s="140">
        <f t="shared" si="18"/>
        <v>0</v>
      </c>
    </row>
    <row r="13" spans="1:43" x14ac:dyDescent="0.25">
      <c r="A13" t="str">
        <f t="shared" si="2"/>
        <v xml:space="preserve"> </v>
      </c>
      <c r="B13" s="1">
        <f t="shared" si="3"/>
        <v>0</v>
      </c>
      <c r="C13" s="1"/>
      <c r="D13" s="5"/>
      <c r="E13" s="18" t="s">
        <v>38</v>
      </c>
      <c r="F13" s="434"/>
      <c r="G13" s="435"/>
      <c r="H13" s="436"/>
      <c r="I13" s="435"/>
      <c r="J13" s="50"/>
      <c r="K13" s="135"/>
      <c r="L13" s="136"/>
      <c r="M13" s="153"/>
      <c r="N13" s="154"/>
      <c r="O13" s="146"/>
      <c r="P13" s="136"/>
      <c r="Q13" s="44"/>
      <c r="R13" s="31"/>
      <c r="S13" s="44"/>
      <c r="T13" s="49"/>
      <c r="U13" s="44"/>
      <c r="V13" s="72" t="str">
        <f t="shared" si="4"/>
        <v xml:space="preserve"> </v>
      </c>
      <c r="W13" s="140">
        <f t="shared" si="5"/>
        <v>0</v>
      </c>
      <c r="AE13" t="str">
        <f t="shared" si="6"/>
        <v xml:space="preserve"> </v>
      </c>
      <c r="AF13" s="1">
        <f t="shared" si="7"/>
        <v>0</v>
      </c>
      <c r="AG13" t="str">
        <f t="shared" si="8"/>
        <v/>
      </c>
      <c r="AH13" t="str">
        <f t="shared" si="9"/>
        <v/>
      </c>
      <c r="AI13" s="1">
        <f t="shared" si="19"/>
        <v>0</v>
      </c>
      <c r="AJ13" s="140">
        <f t="shared" si="11"/>
        <v>0</v>
      </c>
      <c r="AK13" s="140">
        <f t="shared" si="12"/>
        <v>0</v>
      </c>
      <c r="AL13" s="140">
        <f t="shared" si="13"/>
        <v>0</v>
      </c>
      <c r="AM13" s="140">
        <f t="shared" si="14"/>
        <v>0</v>
      </c>
      <c r="AN13" s="140">
        <f t="shared" si="15"/>
        <v>0</v>
      </c>
      <c r="AO13" s="140">
        <f t="shared" si="16"/>
        <v>0</v>
      </c>
      <c r="AP13">
        <f t="shared" si="17"/>
        <v>0</v>
      </c>
      <c r="AQ13" s="140">
        <f t="shared" si="18"/>
        <v>0</v>
      </c>
    </row>
    <row r="14" spans="1:43" x14ac:dyDescent="0.25">
      <c r="A14" t="str">
        <f t="shared" si="2"/>
        <v xml:space="preserve"> </v>
      </c>
      <c r="B14" s="1">
        <f t="shared" si="3"/>
        <v>0</v>
      </c>
      <c r="C14" s="1"/>
      <c r="D14" s="5"/>
      <c r="E14" s="18" t="s">
        <v>38</v>
      </c>
      <c r="F14" s="434"/>
      <c r="G14" s="435"/>
      <c r="H14" s="436"/>
      <c r="I14" s="435"/>
      <c r="J14" s="50"/>
      <c r="K14" s="135"/>
      <c r="L14" s="136"/>
      <c r="M14" s="153"/>
      <c r="N14" s="154"/>
      <c r="O14" s="146"/>
      <c r="P14" s="136"/>
      <c r="Q14" s="44"/>
      <c r="R14" s="31"/>
      <c r="S14" s="44"/>
      <c r="T14" s="49"/>
      <c r="U14" s="44"/>
      <c r="V14" s="72" t="str">
        <f t="shared" si="4"/>
        <v xml:space="preserve"> </v>
      </c>
      <c r="W14" s="140">
        <f t="shared" si="5"/>
        <v>0</v>
      </c>
      <c r="AE14" t="str">
        <f t="shared" si="6"/>
        <v xml:space="preserve"> </v>
      </c>
      <c r="AF14" s="1">
        <f t="shared" si="7"/>
        <v>0</v>
      </c>
      <c r="AG14" t="str">
        <f t="shared" si="8"/>
        <v/>
      </c>
      <c r="AH14" t="str">
        <f t="shared" si="9"/>
        <v/>
      </c>
      <c r="AI14" s="1">
        <f t="shared" si="19"/>
        <v>0</v>
      </c>
      <c r="AJ14" s="140">
        <f t="shared" si="11"/>
        <v>0</v>
      </c>
      <c r="AK14" s="140">
        <f t="shared" si="12"/>
        <v>0</v>
      </c>
      <c r="AL14" s="140">
        <f t="shared" si="13"/>
        <v>0</v>
      </c>
      <c r="AM14" s="140">
        <f t="shared" si="14"/>
        <v>0</v>
      </c>
      <c r="AN14" s="140">
        <f t="shared" si="15"/>
        <v>0</v>
      </c>
      <c r="AO14" s="140">
        <f t="shared" si="16"/>
        <v>0</v>
      </c>
      <c r="AP14">
        <f t="shared" si="17"/>
        <v>0</v>
      </c>
      <c r="AQ14" s="140">
        <f t="shared" si="18"/>
        <v>0</v>
      </c>
    </row>
    <row r="15" spans="1:43" x14ac:dyDescent="0.25">
      <c r="A15" t="str">
        <f t="shared" si="2"/>
        <v xml:space="preserve"> </v>
      </c>
      <c r="B15" s="1">
        <f t="shared" si="3"/>
        <v>0</v>
      </c>
      <c r="C15" s="1"/>
      <c r="D15" s="5"/>
      <c r="E15" s="18" t="s">
        <v>38</v>
      </c>
      <c r="F15" s="434"/>
      <c r="G15" s="435"/>
      <c r="H15" s="436"/>
      <c r="I15" s="435"/>
      <c r="J15" s="50"/>
      <c r="K15" s="135"/>
      <c r="L15" s="136"/>
      <c r="M15" s="153"/>
      <c r="N15" s="154"/>
      <c r="O15" s="146"/>
      <c r="P15" s="136"/>
      <c r="Q15" s="44"/>
      <c r="R15" s="31"/>
      <c r="S15" s="44"/>
      <c r="T15" s="49"/>
      <c r="U15" s="44"/>
      <c r="V15" s="72" t="str">
        <f t="shared" si="4"/>
        <v xml:space="preserve"> </v>
      </c>
      <c r="W15" s="140">
        <f t="shared" si="5"/>
        <v>0</v>
      </c>
      <c r="AE15" t="str">
        <f t="shared" si="6"/>
        <v xml:space="preserve"> </v>
      </c>
      <c r="AF15" s="1">
        <f t="shared" si="7"/>
        <v>0</v>
      </c>
      <c r="AG15" t="str">
        <f t="shared" si="8"/>
        <v/>
      </c>
      <c r="AH15" t="str">
        <f t="shared" si="9"/>
        <v/>
      </c>
      <c r="AI15" s="1">
        <f t="shared" si="19"/>
        <v>0</v>
      </c>
      <c r="AJ15" s="140">
        <f t="shared" si="11"/>
        <v>0</v>
      </c>
      <c r="AK15" s="140">
        <f t="shared" si="12"/>
        <v>0</v>
      </c>
      <c r="AL15" s="140">
        <f t="shared" si="13"/>
        <v>0</v>
      </c>
      <c r="AM15" s="140">
        <f t="shared" si="14"/>
        <v>0</v>
      </c>
      <c r="AN15" s="140">
        <f t="shared" si="15"/>
        <v>0</v>
      </c>
      <c r="AO15" s="140">
        <f t="shared" si="16"/>
        <v>0</v>
      </c>
      <c r="AP15">
        <f t="shared" si="17"/>
        <v>0</v>
      </c>
      <c r="AQ15" s="140">
        <f t="shared" si="18"/>
        <v>0</v>
      </c>
    </row>
    <row r="16" spans="1:43" x14ac:dyDescent="0.25">
      <c r="A16" t="str">
        <f t="shared" si="2"/>
        <v xml:space="preserve"> </v>
      </c>
      <c r="B16" s="1">
        <f t="shared" si="3"/>
        <v>0</v>
      </c>
      <c r="C16" s="1"/>
      <c r="D16" s="5"/>
      <c r="E16" s="18" t="s">
        <v>38</v>
      </c>
      <c r="F16" s="434"/>
      <c r="G16" s="435"/>
      <c r="H16" s="436"/>
      <c r="I16" s="435"/>
      <c r="J16" s="50"/>
      <c r="K16" s="135"/>
      <c r="L16" s="136"/>
      <c r="M16" s="153"/>
      <c r="N16" s="154"/>
      <c r="O16" s="146"/>
      <c r="P16" s="136"/>
      <c r="Q16" s="44"/>
      <c r="R16" s="31"/>
      <c r="S16" s="44"/>
      <c r="T16" s="49"/>
      <c r="U16" s="44"/>
      <c r="V16" s="72" t="str">
        <f t="shared" si="4"/>
        <v xml:space="preserve"> </v>
      </c>
      <c r="W16" s="140">
        <f t="shared" si="5"/>
        <v>0</v>
      </c>
      <c r="AE16" t="str">
        <f t="shared" si="6"/>
        <v xml:space="preserve"> </v>
      </c>
      <c r="AF16" s="1">
        <f t="shared" si="7"/>
        <v>0</v>
      </c>
      <c r="AG16" t="str">
        <f t="shared" si="8"/>
        <v/>
      </c>
      <c r="AH16" t="str">
        <f t="shared" si="9"/>
        <v/>
      </c>
      <c r="AI16" s="1">
        <f t="shared" si="19"/>
        <v>0</v>
      </c>
      <c r="AJ16" s="140">
        <f t="shared" si="11"/>
        <v>0</v>
      </c>
      <c r="AK16" s="140">
        <f t="shared" si="12"/>
        <v>0</v>
      </c>
      <c r="AL16" s="140">
        <f t="shared" si="13"/>
        <v>0</v>
      </c>
      <c r="AM16" s="140">
        <f t="shared" si="14"/>
        <v>0</v>
      </c>
      <c r="AN16" s="140">
        <f t="shared" si="15"/>
        <v>0</v>
      </c>
      <c r="AO16" s="140">
        <f t="shared" si="16"/>
        <v>0</v>
      </c>
      <c r="AP16">
        <f t="shared" si="17"/>
        <v>0</v>
      </c>
      <c r="AQ16" s="140">
        <f t="shared" si="18"/>
        <v>0</v>
      </c>
    </row>
    <row r="17" spans="1:43" x14ac:dyDescent="0.25">
      <c r="A17" t="e">
        <f t="shared" si="2"/>
        <v>#N/A</v>
      </c>
      <c r="B17" s="1" t="e">
        <f t="shared" si="3"/>
        <v>#N/A</v>
      </c>
      <c r="C17" s="1"/>
      <c r="D17" s="5"/>
      <c r="E17" s="19" t="s">
        <v>37</v>
      </c>
      <c r="F17" s="432" t="e">
        <f>VLOOKUP($F$1,Ranglisten!$A$23:$AW$42,26,FALSE)</f>
        <v>#N/A</v>
      </c>
      <c r="G17" s="437"/>
      <c r="H17" s="433" t="e">
        <f>VLOOKUP($F$1,Ranglisten!$A$23:$AW$42,27,FALSE)</f>
        <v>#N/A</v>
      </c>
      <c r="I17" s="433"/>
      <c r="J17" s="23" t="e">
        <f>VLOOKUP($F$1,Ranglisten!$A$23:$AW$42,28,FALSE)</f>
        <v>#N/A</v>
      </c>
      <c r="K17" s="155"/>
      <c r="L17" s="156"/>
      <c r="M17" s="161"/>
      <c r="N17" s="143"/>
      <c r="O17" s="155"/>
      <c r="P17" s="156"/>
      <c r="Q17" s="159"/>
      <c r="R17" s="43"/>
      <c r="S17" s="44"/>
      <c r="T17" s="34"/>
      <c r="U17" s="30"/>
      <c r="V17" s="72" t="e">
        <f t="shared" si="4"/>
        <v>#N/A</v>
      </c>
      <c r="W17" s="140">
        <f t="shared" si="5"/>
        <v>0</v>
      </c>
      <c r="AE17" t="e">
        <f t="shared" si="6"/>
        <v>#N/A</v>
      </c>
      <c r="AF17" s="1">
        <f t="shared" si="7"/>
        <v>0</v>
      </c>
      <c r="AG17" t="str">
        <f t="shared" si="8"/>
        <v/>
      </c>
      <c r="AH17" t="str">
        <f t="shared" si="9"/>
        <v/>
      </c>
      <c r="AI17" s="1">
        <f t="shared" si="19"/>
        <v>0</v>
      </c>
      <c r="AJ17" s="140">
        <f t="shared" si="11"/>
        <v>0</v>
      </c>
      <c r="AK17" s="140">
        <f t="shared" si="12"/>
        <v>0</v>
      </c>
      <c r="AL17" s="140">
        <f t="shared" si="13"/>
        <v>0</v>
      </c>
      <c r="AM17" s="140">
        <f t="shared" si="14"/>
        <v>0</v>
      </c>
      <c r="AN17" s="140">
        <f t="shared" si="15"/>
        <v>0</v>
      </c>
      <c r="AO17" s="140">
        <f t="shared" si="16"/>
        <v>0</v>
      </c>
      <c r="AP17">
        <f t="shared" si="17"/>
        <v>0</v>
      </c>
      <c r="AQ17" s="140">
        <f t="shared" si="18"/>
        <v>0</v>
      </c>
    </row>
    <row r="18" spans="1:43" x14ac:dyDescent="0.25">
      <c r="A18" t="e">
        <f t="shared" si="2"/>
        <v>#N/A</v>
      </c>
      <c r="B18" s="1" t="e">
        <f t="shared" si="3"/>
        <v>#N/A</v>
      </c>
      <c r="C18" s="1"/>
      <c r="D18" s="5"/>
      <c r="E18" s="19" t="s">
        <v>39</v>
      </c>
      <c r="F18" s="432" t="e">
        <f>VLOOKUP($F$1,Ranglisten!$A$23:$AW$42,29,FALSE)</f>
        <v>#N/A</v>
      </c>
      <c r="G18" s="433"/>
      <c r="H18" s="433" t="e">
        <f>VLOOKUP($F$1,Ranglisten!$A$23:$AW$42,30,FALSE)</f>
        <v>#N/A</v>
      </c>
      <c r="I18" s="433"/>
      <c r="J18" s="23" t="e">
        <f>VLOOKUP($F$1,Ranglisten!$A$23:$AW$42,31,FALSE)</f>
        <v>#N/A</v>
      </c>
      <c r="K18" s="155"/>
      <c r="L18" s="156"/>
      <c r="M18" s="161"/>
      <c r="N18" s="143"/>
      <c r="O18" s="155"/>
      <c r="P18" s="156"/>
      <c r="Q18" s="159"/>
      <c r="R18" s="43"/>
      <c r="S18" s="44"/>
      <c r="T18" s="34"/>
      <c r="U18" s="30"/>
      <c r="V18" s="72" t="e">
        <f t="shared" si="4"/>
        <v>#N/A</v>
      </c>
      <c r="W18" s="140">
        <f t="shared" si="5"/>
        <v>0</v>
      </c>
      <c r="AE18" t="e">
        <f t="shared" si="6"/>
        <v>#N/A</v>
      </c>
      <c r="AF18" s="1">
        <f t="shared" si="7"/>
        <v>0</v>
      </c>
      <c r="AG18" t="str">
        <f t="shared" si="8"/>
        <v/>
      </c>
      <c r="AH18" t="str">
        <f t="shared" si="9"/>
        <v/>
      </c>
      <c r="AI18" s="1">
        <f t="shared" si="19"/>
        <v>0</v>
      </c>
      <c r="AJ18" s="140">
        <f t="shared" si="11"/>
        <v>0</v>
      </c>
      <c r="AK18" s="140">
        <f t="shared" si="12"/>
        <v>0</v>
      </c>
      <c r="AL18" s="140">
        <f t="shared" si="13"/>
        <v>0</v>
      </c>
      <c r="AM18" s="140">
        <f t="shared" si="14"/>
        <v>0</v>
      </c>
      <c r="AN18" s="140">
        <f t="shared" si="15"/>
        <v>0</v>
      </c>
      <c r="AO18" s="140">
        <f t="shared" si="16"/>
        <v>0</v>
      </c>
      <c r="AP18">
        <f t="shared" si="17"/>
        <v>0</v>
      </c>
      <c r="AQ18" s="140">
        <f t="shared" si="18"/>
        <v>0</v>
      </c>
    </row>
    <row r="19" spans="1:43" x14ac:dyDescent="0.25">
      <c r="A19" t="e">
        <f t="shared" si="2"/>
        <v>#N/A</v>
      </c>
      <c r="B19" s="1" t="e">
        <f t="shared" si="3"/>
        <v>#N/A</v>
      </c>
      <c r="C19" s="1"/>
      <c r="D19" s="5"/>
      <c r="E19" s="19" t="s">
        <v>40</v>
      </c>
      <c r="F19" s="432" t="e">
        <f>VLOOKUP($F$1,Ranglisten!$A$23:$AW$42,32,FALSE)</f>
        <v>#N/A</v>
      </c>
      <c r="G19" s="433"/>
      <c r="H19" s="433" t="e">
        <f>VLOOKUP($F$1,Ranglisten!$A$23:$AW$42,33,FALSE)</f>
        <v>#N/A</v>
      </c>
      <c r="I19" s="433"/>
      <c r="J19" s="23" t="e">
        <f>VLOOKUP($F$1,Ranglisten!$A$23:$AW$42,34,FALSE)</f>
        <v>#N/A</v>
      </c>
      <c r="K19" s="155"/>
      <c r="L19" s="156"/>
      <c r="M19" s="161"/>
      <c r="N19" s="143"/>
      <c r="O19" s="155"/>
      <c r="P19" s="156"/>
      <c r="Q19" s="159"/>
      <c r="R19" s="43"/>
      <c r="S19" s="44"/>
      <c r="T19" s="34"/>
      <c r="U19" s="30"/>
      <c r="V19" s="72" t="e">
        <f t="shared" si="4"/>
        <v>#N/A</v>
      </c>
      <c r="W19" s="140">
        <f t="shared" si="5"/>
        <v>0</v>
      </c>
      <c r="AE19" t="e">
        <f t="shared" si="6"/>
        <v>#N/A</v>
      </c>
      <c r="AF19" s="1">
        <f t="shared" si="7"/>
        <v>0</v>
      </c>
      <c r="AG19" t="str">
        <f t="shared" si="8"/>
        <v/>
      </c>
      <c r="AH19" t="str">
        <f t="shared" si="9"/>
        <v/>
      </c>
      <c r="AI19" s="1">
        <f t="shared" si="19"/>
        <v>0</v>
      </c>
      <c r="AJ19" s="140">
        <f t="shared" si="11"/>
        <v>0</v>
      </c>
      <c r="AK19" s="140">
        <f t="shared" si="12"/>
        <v>0</v>
      </c>
      <c r="AL19" s="140">
        <f t="shared" si="13"/>
        <v>0</v>
      </c>
      <c r="AM19" s="140">
        <f t="shared" si="14"/>
        <v>0</v>
      </c>
      <c r="AN19" s="140">
        <f t="shared" si="15"/>
        <v>0</v>
      </c>
      <c r="AO19" s="140">
        <f t="shared" si="16"/>
        <v>0</v>
      </c>
      <c r="AP19">
        <f t="shared" si="17"/>
        <v>0</v>
      </c>
      <c r="AQ19" s="140">
        <f t="shared" si="18"/>
        <v>0</v>
      </c>
    </row>
    <row r="20" spans="1:43" x14ac:dyDescent="0.25">
      <c r="A20" t="e">
        <f t="shared" si="2"/>
        <v>#N/A</v>
      </c>
      <c r="B20" s="1" t="e">
        <f t="shared" si="3"/>
        <v>#N/A</v>
      </c>
      <c r="C20" s="1"/>
      <c r="D20" s="5"/>
      <c r="E20" s="19" t="s">
        <v>41</v>
      </c>
      <c r="F20" s="432" t="e">
        <f>VLOOKUP($F$1,Ranglisten!$A$23:$AW$42,35,FALSE)</f>
        <v>#N/A</v>
      </c>
      <c r="G20" s="433"/>
      <c r="H20" s="433" t="e">
        <f>VLOOKUP($F$1,Ranglisten!$A$23:$AW$42,36,FALSE)</f>
        <v>#N/A</v>
      </c>
      <c r="I20" s="433"/>
      <c r="J20" s="23" t="e">
        <f>VLOOKUP($F$1,Ranglisten!$A$23:$AW$42,37,FALSE)</f>
        <v>#N/A</v>
      </c>
      <c r="K20" s="155"/>
      <c r="L20" s="156"/>
      <c r="M20" s="161"/>
      <c r="N20" s="143"/>
      <c r="O20" s="155"/>
      <c r="P20" s="156"/>
      <c r="Q20" s="159"/>
      <c r="R20" s="43"/>
      <c r="S20" s="44"/>
      <c r="T20" s="34"/>
      <c r="U20" s="30"/>
      <c r="V20" s="72" t="e">
        <f t="shared" si="4"/>
        <v>#N/A</v>
      </c>
      <c r="W20" s="140">
        <f t="shared" si="5"/>
        <v>0</v>
      </c>
      <c r="AE20" t="e">
        <f t="shared" si="6"/>
        <v>#N/A</v>
      </c>
      <c r="AF20" s="1">
        <f t="shared" si="7"/>
        <v>0</v>
      </c>
      <c r="AG20" t="str">
        <f t="shared" si="8"/>
        <v/>
      </c>
      <c r="AH20" t="str">
        <f t="shared" si="9"/>
        <v/>
      </c>
      <c r="AI20" s="1">
        <f t="shared" si="19"/>
        <v>0</v>
      </c>
      <c r="AJ20" s="140">
        <f t="shared" si="11"/>
        <v>0</v>
      </c>
      <c r="AK20" s="140">
        <f t="shared" si="12"/>
        <v>0</v>
      </c>
      <c r="AL20" s="140">
        <f t="shared" si="13"/>
        <v>0</v>
      </c>
      <c r="AM20" s="140">
        <f t="shared" si="14"/>
        <v>0</v>
      </c>
      <c r="AN20" s="140">
        <f t="shared" si="15"/>
        <v>0</v>
      </c>
      <c r="AO20" s="140">
        <f t="shared" si="16"/>
        <v>0</v>
      </c>
      <c r="AP20">
        <f t="shared" si="17"/>
        <v>0</v>
      </c>
      <c r="AQ20" s="140">
        <f t="shared" si="18"/>
        <v>0</v>
      </c>
    </row>
    <row r="21" spans="1:43" x14ac:dyDescent="0.25">
      <c r="A21" t="e">
        <f t="shared" si="2"/>
        <v>#N/A</v>
      </c>
      <c r="B21" s="1" t="e">
        <f t="shared" si="3"/>
        <v>#N/A</v>
      </c>
      <c r="C21" s="1"/>
      <c r="D21" s="5"/>
      <c r="E21" s="19" t="s">
        <v>42</v>
      </c>
      <c r="F21" s="433" t="e">
        <f>VLOOKUP($F$1,Ranglisten!$A$23:$AW$42,38,FALSE)</f>
        <v>#N/A</v>
      </c>
      <c r="G21" s="433"/>
      <c r="H21" s="433" t="e">
        <f>VLOOKUP($F$1,Ranglisten!$A$23:$AW$42,39,FALSE)</f>
        <v>#N/A</v>
      </c>
      <c r="I21" s="433"/>
      <c r="J21" s="23" t="e">
        <f>VLOOKUP($F$1,Ranglisten!$A$23:$AW$42,40,FALSE)</f>
        <v>#N/A</v>
      </c>
      <c r="K21" s="155"/>
      <c r="L21" s="156"/>
      <c r="M21" s="161"/>
      <c r="N21" s="143"/>
      <c r="O21" s="155"/>
      <c r="P21" s="156"/>
      <c r="Q21" s="159"/>
      <c r="R21" s="43"/>
      <c r="S21" s="44"/>
      <c r="T21" s="34"/>
      <c r="U21" s="30"/>
      <c r="V21" s="72" t="e">
        <f t="shared" si="4"/>
        <v>#N/A</v>
      </c>
      <c r="W21" s="140">
        <f t="shared" si="5"/>
        <v>0</v>
      </c>
      <c r="AE21" t="e">
        <f t="shared" si="6"/>
        <v>#N/A</v>
      </c>
      <c r="AF21" s="1">
        <f t="shared" si="7"/>
        <v>0</v>
      </c>
      <c r="AG21" t="str">
        <f t="shared" si="8"/>
        <v/>
      </c>
      <c r="AH21" t="str">
        <f t="shared" si="9"/>
        <v/>
      </c>
      <c r="AI21" s="1">
        <f t="shared" si="19"/>
        <v>0</v>
      </c>
      <c r="AJ21" s="140">
        <f t="shared" si="11"/>
        <v>0</v>
      </c>
      <c r="AK21" s="140">
        <f t="shared" si="12"/>
        <v>0</v>
      </c>
      <c r="AL21" s="140">
        <f t="shared" si="13"/>
        <v>0</v>
      </c>
      <c r="AM21" s="140">
        <f t="shared" si="14"/>
        <v>0</v>
      </c>
      <c r="AN21" s="140">
        <f t="shared" si="15"/>
        <v>0</v>
      </c>
      <c r="AO21" s="140">
        <f t="shared" si="16"/>
        <v>0</v>
      </c>
      <c r="AP21">
        <f t="shared" si="17"/>
        <v>0</v>
      </c>
      <c r="AQ21" s="140">
        <f t="shared" si="18"/>
        <v>0</v>
      </c>
    </row>
    <row r="22" spans="1:43" x14ac:dyDescent="0.25">
      <c r="A22" t="e">
        <f t="shared" si="2"/>
        <v>#N/A</v>
      </c>
      <c r="B22" s="1" t="e">
        <f t="shared" si="3"/>
        <v>#N/A</v>
      </c>
      <c r="C22" s="1"/>
      <c r="D22" s="5"/>
      <c r="E22" s="19" t="s">
        <v>43</v>
      </c>
      <c r="F22" s="432" t="e">
        <f>VLOOKUP($F$1,Ranglisten!$A$23:$AW$42,41,FALSE)</f>
        <v>#N/A</v>
      </c>
      <c r="G22" s="433"/>
      <c r="H22" s="433" t="e">
        <f>VLOOKUP($F$1,Ranglisten!$A$23:$AW$42,42,FALSE)</f>
        <v>#N/A</v>
      </c>
      <c r="I22" s="433"/>
      <c r="J22" s="23" t="e">
        <f>VLOOKUP($F$1,Ranglisten!$A$23:$AW$42,43,FALSE)</f>
        <v>#N/A</v>
      </c>
      <c r="K22" s="155"/>
      <c r="L22" s="156"/>
      <c r="M22" s="161"/>
      <c r="N22" s="143"/>
      <c r="O22" s="155"/>
      <c r="P22" s="156"/>
      <c r="Q22" s="159"/>
      <c r="R22" s="43"/>
      <c r="S22" s="44"/>
      <c r="T22" s="34"/>
      <c r="U22" s="30"/>
      <c r="V22" s="72" t="e">
        <f t="shared" si="4"/>
        <v>#N/A</v>
      </c>
      <c r="W22" s="140">
        <f t="shared" si="5"/>
        <v>0</v>
      </c>
      <c r="AE22" t="e">
        <f t="shared" si="6"/>
        <v>#N/A</v>
      </c>
      <c r="AF22" s="1">
        <f t="shared" si="7"/>
        <v>0</v>
      </c>
      <c r="AG22" t="str">
        <f t="shared" si="8"/>
        <v/>
      </c>
      <c r="AH22" t="str">
        <f t="shared" si="9"/>
        <v/>
      </c>
      <c r="AI22" s="1">
        <f t="shared" si="19"/>
        <v>0</v>
      </c>
      <c r="AJ22" s="140">
        <f t="shared" si="11"/>
        <v>0</v>
      </c>
      <c r="AK22" s="140">
        <f t="shared" si="12"/>
        <v>0</v>
      </c>
      <c r="AL22" s="140">
        <f t="shared" si="13"/>
        <v>0</v>
      </c>
      <c r="AM22" s="140">
        <f t="shared" si="14"/>
        <v>0</v>
      </c>
      <c r="AN22" s="140">
        <f t="shared" si="15"/>
        <v>0</v>
      </c>
      <c r="AO22" s="140">
        <f t="shared" si="16"/>
        <v>0</v>
      </c>
      <c r="AP22">
        <f t="shared" si="17"/>
        <v>0</v>
      </c>
      <c r="AQ22" s="140">
        <f t="shared" si="18"/>
        <v>0</v>
      </c>
    </row>
    <row r="23" spans="1:43" x14ac:dyDescent="0.25">
      <c r="A23" t="e">
        <f t="shared" si="2"/>
        <v>#N/A</v>
      </c>
      <c r="B23" s="1" t="e">
        <f t="shared" si="3"/>
        <v>#N/A</v>
      </c>
      <c r="C23" s="1"/>
      <c r="D23" s="5"/>
      <c r="E23" s="19" t="s">
        <v>44</v>
      </c>
      <c r="F23" s="432" t="e">
        <f>VLOOKUP($F$1,Ranglisten!$A$23:$AW$42,44,FALSE)</f>
        <v>#N/A</v>
      </c>
      <c r="G23" s="433"/>
      <c r="H23" s="433" t="e">
        <f>VLOOKUP($F$1,Ranglisten!$A$23:$AW$42,45,FALSE)</f>
        <v>#N/A</v>
      </c>
      <c r="I23" s="433"/>
      <c r="J23" s="23" t="e">
        <f>VLOOKUP($F$1,Ranglisten!$A$23:$AW$42,46,FALSE)</f>
        <v>#N/A</v>
      </c>
      <c r="K23" s="155"/>
      <c r="L23" s="156"/>
      <c r="M23" s="161"/>
      <c r="N23" s="143"/>
      <c r="O23" s="155"/>
      <c r="P23" s="156"/>
      <c r="Q23" s="159"/>
      <c r="R23" s="43"/>
      <c r="S23" s="44"/>
      <c r="T23" s="34"/>
      <c r="U23" s="30"/>
      <c r="V23" s="72" t="e">
        <f t="shared" si="4"/>
        <v>#N/A</v>
      </c>
      <c r="W23" s="140">
        <f t="shared" si="5"/>
        <v>0</v>
      </c>
      <c r="AE23" t="e">
        <f t="shared" si="6"/>
        <v>#N/A</v>
      </c>
      <c r="AF23" s="1">
        <f t="shared" si="7"/>
        <v>0</v>
      </c>
      <c r="AG23" t="str">
        <f t="shared" si="8"/>
        <v/>
      </c>
      <c r="AH23" t="str">
        <f t="shared" si="9"/>
        <v/>
      </c>
      <c r="AI23" s="1">
        <f t="shared" si="19"/>
        <v>0</v>
      </c>
      <c r="AJ23" s="140">
        <f t="shared" si="11"/>
        <v>0</v>
      </c>
      <c r="AK23" s="140">
        <f t="shared" si="12"/>
        <v>0</v>
      </c>
      <c r="AL23" s="140">
        <f t="shared" si="13"/>
        <v>0</v>
      </c>
      <c r="AM23" s="140">
        <f t="shared" si="14"/>
        <v>0</v>
      </c>
      <c r="AN23" s="140">
        <f t="shared" si="15"/>
        <v>0</v>
      </c>
      <c r="AO23" s="140">
        <f t="shared" si="16"/>
        <v>0</v>
      </c>
      <c r="AP23">
        <f t="shared" si="17"/>
        <v>0</v>
      </c>
      <c r="AQ23" s="140">
        <f t="shared" si="18"/>
        <v>0</v>
      </c>
    </row>
    <row r="24" spans="1:43" x14ac:dyDescent="0.25">
      <c r="A24" t="e">
        <f t="shared" si="2"/>
        <v>#N/A</v>
      </c>
      <c r="B24" s="1" t="e">
        <f t="shared" si="3"/>
        <v>#N/A</v>
      </c>
      <c r="C24" s="1"/>
      <c r="D24" s="5"/>
      <c r="E24" s="19" t="s">
        <v>46</v>
      </c>
      <c r="F24" s="432" t="e">
        <f>VLOOKUP($F$1,Ranglisten!$A$23:$AW$42,47,FALSE)</f>
        <v>#N/A</v>
      </c>
      <c r="G24" s="433"/>
      <c r="H24" s="433" t="e">
        <f>VLOOKUP($F$1,Ranglisten!$A$23:$AW$42,48,FALSE)</f>
        <v>#N/A</v>
      </c>
      <c r="I24" s="433"/>
      <c r="J24" s="23" t="e">
        <f>VLOOKUP($F$1,Ranglisten!$A$23:$AW$42,49,FALSE)</f>
        <v>#N/A</v>
      </c>
      <c r="K24" s="155"/>
      <c r="L24" s="156"/>
      <c r="M24" s="161"/>
      <c r="N24" s="143"/>
      <c r="O24" s="155"/>
      <c r="P24" s="156"/>
      <c r="Q24" s="159"/>
      <c r="R24" s="43"/>
      <c r="S24" s="44"/>
      <c r="T24" s="34"/>
      <c r="U24" s="30"/>
      <c r="V24" s="72" t="e">
        <f t="shared" si="4"/>
        <v>#N/A</v>
      </c>
      <c r="W24" s="140">
        <f t="shared" si="5"/>
        <v>0</v>
      </c>
      <c r="AE24" t="e">
        <f t="shared" si="6"/>
        <v>#N/A</v>
      </c>
      <c r="AF24" s="1">
        <f t="shared" si="7"/>
        <v>0</v>
      </c>
      <c r="AG24" t="str">
        <f t="shared" si="8"/>
        <v/>
      </c>
      <c r="AH24" t="str">
        <f t="shared" si="9"/>
        <v/>
      </c>
      <c r="AI24" s="1">
        <f t="shared" si="19"/>
        <v>0</v>
      </c>
      <c r="AJ24" s="140">
        <f t="shared" si="11"/>
        <v>0</v>
      </c>
      <c r="AK24" s="140">
        <f t="shared" si="12"/>
        <v>0</v>
      </c>
      <c r="AL24" s="140">
        <f t="shared" si="13"/>
        <v>0</v>
      </c>
      <c r="AM24" s="140">
        <f t="shared" si="14"/>
        <v>0</v>
      </c>
      <c r="AN24" s="140">
        <f t="shared" si="15"/>
        <v>0</v>
      </c>
      <c r="AO24" s="140">
        <f t="shared" si="16"/>
        <v>0</v>
      </c>
      <c r="AP24">
        <f t="shared" si="17"/>
        <v>0</v>
      </c>
      <c r="AQ24" s="140">
        <f t="shared" si="18"/>
        <v>0</v>
      </c>
    </row>
    <row r="25" spans="1:43" x14ac:dyDescent="0.25">
      <c r="A25" t="str">
        <f t="shared" si="2"/>
        <v xml:space="preserve"> </v>
      </c>
      <c r="B25" s="1">
        <f t="shared" si="3"/>
        <v>0</v>
      </c>
      <c r="C25" s="1"/>
      <c r="D25" s="5"/>
      <c r="E25" s="19" t="s">
        <v>45</v>
      </c>
      <c r="F25" s="449"/>
      <c r="G25" s="450"/>
      <c r="H25" s="450"/>
      <c r="I25" s="450"/>
      <c r="J25" s="50"/>
      <c r="K25" s="155"/>
      <c r="L25" s="156"/>
      <c r="M25" s="161"/>
      <c r="N25" s="143"/>
      <c r="O25" s="155"/>
      <c r="P25" s="156"/>
      <c r="Q25" s="159"/>
      <c r="R25" s="43"/>
      <c r="S25" s="44"/>
      <c r="T25" s="34"/>
      <c r="U25" s="30"/>
      <c r="V25" s="72" t="str">
        <f t="shared" si="4"/>
        <v xml:space="preserve"> </v>
      </c>
      <c r="W25" s="140">
        <f t="shared" si="5"/>
        <v>0</v>
      </c>
      <c r="AE25" t="str">
        <f t="shared" si="6"/>
        <v xml:space="preserve"> </v>
      </c>
      <c r="AF25" s="1">
        <f t="shared" si="7"/>
        <v>0</v>
      </c>
      <c r="AG25" t="str">
        <f t="shared" si="8"/>
        <v/>
      </c>
      <c r="AH25" t="str">
        <f t="shared" si="9"/>
        <v/>
      </c>
      <c r="AI25" s="1">
        <f t="shared" si="19"/>
        <v>0</v>
      </c>
      <c r="AJ25" s="140">
        <f t="shared" si="11"/>
        <v>0</v>
      </c>
      <c r="AK25" s="140">
        <f t="shared" si="12"/>
        <v>0</v>
      </c>
      <c r="AL25" s="140">
        <f t="shared" si="13"/>
        <v>0</v>
      </c>
      <c r="AM25" s="140">
        <f t="shared" si="14"/>
        <v>0</v>
      </c>
      <c r="AN25" s="140">
        <f t="shared" si="15"/>
        <v>0</v>
      </c>
      <c r="AO25" s="140">
        <f t="shared" si="16"/>
        <v>0</v>
      </c>
      <c r="AP25">
        <f t="shared" si="17"/>
        <v>0</v>
      </c>
      <c r="AQ25" s="140">
        <f t="shared" si="18"/>
        <v>0</v>
      </c>
    </row>
    <row r="26" spans="1:43" x14ac:dyDescent="0.25">
      <c r="A26" t="str">
        <f t="shared" si="2"/>
        <v xml:space="preserve"> </v>
      </c>
      <c r="B26" s="1">
        <f t="shared" si="3"/>
        <v>0</v>
      </c>
      <c r="C26" s="1"/>
      <c r="D26" s="5"/>
      <c r="E26" s="19" t="s">
        <v>45</v>
      </c>
      <c r="F26" s="449"/>
      <c r="G26" s="450"/>
      <c r="H26" s="450"/>
      <c r="I26" s="450"/>
      <c r="J26" s="50"/>
      <c r="K26" s="155"/>
      <c r="L26" s="156"/>
      <c r="M26" s="161"/>
      <c r="N26" s="143"/>
      <c r="O26" s="155"/>
      <c r="P26" s="156"/>
      <c r="Q26" s="159"/>
      <c r="R26" s="43"/>
      <c r="S26" s="44"/>
      <c r="T26" s="34"/>
      <c r="U26" s="30"/>
      <c r="V26" s="72" t="str">
        <f t="shared" si="4"/>
        <v xml:space="preserve"> </v>
      </c>
      <c r="W26" s="140">
        <f t="shared" si="5"/>
        <v>0</v>
      </c>
      <c r="AE26" t="str">
        <f t="shared" si="6"/>
        <v xml:space="preserve"> </v>
      </c>
      <c r="AF26" s="1">
        <f t="shared" si="7"/>
        <v>0</v>
      </c>
      <c r="AG26" t="str">
        <f t="shared" si="8"/>
        <v/>
      </c>
      <c r="AH26" t="str">
        <f t="shared" si="9"/>
        <v/>
      </c>
      <c r="AI26" s="1">
        <f t="shared" si="19"/>
        <v>0</v>
      </c>
      <c r="AJ26" s="140">
        <f t="shared" si="11"/>
        <v>0</v>
      </c>
      <c r="AK26" s="140">
        <f t="shared" si="12"/>
        <v>0</v>
      </c>
      <c r="AL26" s="140">
        <f t="shared" si="13"/>
        <v>0</v>
      </c>
      <c r="AM26" s="140">
        <f t="shared" si="14"/>
        <v>0</v>
      </c>
      <c r="AN26" s="140">
        <f t="shared" si="15"/>
        <v>0</v>
      </c>
      <c r="AO26" s="140">
        <f t="shared" si="16"/>
        <v>0</v>
      </c>
      <c r="AP26">
        <f t="shared" si="17"/>
        <v>0</v>
      </c>
      <c r="AQ26" s="140">
        <f t="shared" si="18"/>
        <v>0</v>
      </c>
    </row>
    <row r="27" spans="1:43" x14ac:dyDescent="0.25">
      <c r="A27" t="str">
        <f t="shared" si="2"/>
        <v xml:space="preserve"> </v>
      </c>
      <c r="B27" s="1">
        <f t="shared" si="3"/>
        <v>0</v>
      </c>
      <c r="C27" s="1"/>
      <c r="D27" s="5"/>
      <c r="E27" s="19" t="s">
        <v>45</v>
      </c>
      <c r="F27" s="434"/>
      <c r="G27" s="435"/>
      <c r="H27" s="436"/>
      <c r="I27" s="435"/>
      <c r="J27" s="50"/>
      <c r="K27" s="155"/>
      <c r="L27" s="156"/>
      <c r="M27" s="161"/>
      <c r="N27" s="143"/>
      <c r="O27" s="155"/>
      <c r="P27" s="156"/>
      <c r="Q27" s="159"/>
      <c r="R27" s="43"/>
      <c r="S27" s="44"/>
      <c r="T27" s="34"/>
      <c r="U27" s="30"/>
      <c r="V27" s="72" t="str">
        <f t="shared" si="4"/>
        <v xml:space="preserve"> </v>
      </c>
      <c r="W27" s="140">
        <f t="shared" si="5"/>
        <v>0</v>
      </c>
      <c r="AE27" t="str">
        <f t="shared" si="6"/>
        <v xml:space="preserve"> </v>
      </c>
      <c r="AF27" s="1">
        <f t="shared" si="7"/>
        <v>0</v>
      </c>
      <c r="AG27" t="str">
        <f t="shared" si="8"/>
        <v/>
      </c>
      <c r="AH27" t="str">
        <f t="shared" si="9"/>
        <v/>
      </c>
      <c r="AI27" s="1">
        <f t="shared" si="19"/>
        <v>0</v>
      </c>
      <c r="AJ27" s="140">
        <f t="shared" si="11"/>
        <v>0</v>
      </c>
      <c r="AK27" s="140">
        <f t="shared" si="12"/>
        <v>0</v>
      </c>
      <c r="AL27" s="140">
        <f t="shared" si="13"/>
        <v>0</v>
      </c>
      <c r="AM27" s="140">
        <f t="shared" si="14"/>
        <v>0</v>
      </c>
      <c r="AN27" s="140">
        <f t="shared" si="15"/>
        <v>0</v>
      </c>
      <c r="AO27" s="140">
        <f t="shared" si="16"/>
        <v>0</v>
      </c>
      <c r="AP27">
        <f t="shared" si="17"/>
        <v>0</v>
      </c>
      <c r="AQ27" s="140">
        <f t="shared" si="18"/>
        <v>0</v>
      </c>
    </row>
    <row r="28" spans="1:43" ht="15.75" thickBot="1" x14ac:dyDescent="0.3">
      <c r="A28" t="str">
        <f t="shared" si="2"/>
        <v xml:space="preserve"> </v>
      </c>
      <c r="B28" s="1">
        <f t="shared" si="3"/>
        <v>0</v>
      </c>
      <c r="C28" s="1"/>
      <c r="D28" s="5"/>
      <c r="E28" s="22" t="s">
        <v>45</v>
      </c>
      <c r="F28" s="439"/>
      <c r="G28" s="440"/>
      <c r="H28" s="441"/>
      <c r="I28" s="440"/>
      <c r="J28" s="51"/>
      <c r="K28" s="157"/>
      <c r="L28" s="158"/>
      <c r="M28" s="162"/>
      <c r="N28" s="144"/>
      <c r="O28" s="157"/>
      <c r="P28" s="158"/>
      <c r="Q28" s="160"/>
      <c r="R28" s="47"/>
      <c r="S28" s="45"/>
      <c r="T28" s="35"/>
      <c r="U28" s="32"/>
      <c r="V28" s="72" t="str">
        <f t="shared" si="4"/>
        <v xml:space="preserve"> </v>
      </c>
      <c r="W28" s="140">
        <f t="shared" si="5"/>
        <v>0</v>
      </c>
      <c r="AE28" t="str">
        <f t="shared" si="6"/>
        <v xml:space="preserve"> </v>
      </c>
      <c r="AF28" s="1">
        <f t="shared" si="7"/>
        <v>0</v>
      </c>
      <c r="AG28" t="str">
        <f t="shared" si="8"/>
        <v/>
      </c>
      <c r="AH28" t="str">
        <f t="shared" si="9"/>
        <v/>
      </c>
      <c r="AI28" s="1">
        <f t="shared" si="19"/>
        <v>0</v>
      </c>
      <c r="AJ28" s="140">
        <f t="shared" si="11"/>
        <v>0</v>
      </c>
      <c r="AK28" s="140">
        <f t="shared" si="12"/>
        <v>0</v>
      </c>
      <c r="AL28" s="140">
        <f t="shared" si="13"/>
        <v>0</v>
      </c>
      <c r="AM28" s="140">
        <f t="shared" si="14"/>
        <v>0</v>
      </c>
      <c r="AN28" s="140">
        <f t="shared" si="15"/>
        <v>0</v>
      </c>
      <c r="AO28" s="140">
        <f t="shared" si="16"/>
        <v>0</v>
      </c>
      <c r="AP28">
        <f t="shared" si="17"/>
        <v>0</v>
      </c>
      <c r="AQ28" s="140">
        <f t="shared" si="18"/>
        <v>0</v>
      </c>
    </row>
    <row r="29" spans="1:43" ht="15.75" thickBot="1" x14ac:dyDescent="0.3">
      <c r="D29" s="5"/>
      <c r="E29" s="445" t="s">
        <v>60</v>
      </c>
      <c r="F29" s="446"/>
      <c r="G29" s="446"/>
      <c r="H29" s="446"/>
      <c r="I29" s="446"/>
      <c r="J29" s="446"/>
      <c r="K29" s="447"/>
      <c r="L29" s="447"/>
      <c r="M29" s="447"/>
      <c r="N29" s="447"/>
      <c r="O29" s="447"/>
      <c r="P29" s="447"/>
      <c r="Q29" s="447"/>
      <c r="R29" s="447"/>
      <c r="S29" s="447"/>
      <c r="T29" s="447"/>
      <c r="U29" s="448"/>
      <c r="V29" s="72"/>
      <c r="AF29" s="1"/>
    </row>
    <row r="30" spans="1:43" x14ac:dyDescent="0.25">
      <c r="A30" t="str">
        <f t="shared" si="2"/>
        <v xml:space="preserve"> </v>
      </c>
      <c r="B30" s="1">
        <f>VLOOKUP(A30,$A$5:$B$29,2,FALSE)</f>
        <v>0</v>
      </c>
      <c r="C30" s="5" t="str">
        <f>IF(F31=0,""," / ")</f>
        <v/>
      </c>
      <c r="E30" s="25" t="s">
        <v>47</v>
      </c>
      <c r="F30" s="442"/>
      <c r="G30" s="443"/>
      <c r="H30" s="444"/>
      <c r="I30" s="443"/>
      <c r="J30" s="54">
        <f>IF(B30=1,"##",0)</f>
        <v>0</v>
      </c>
      <c r="K30" s="145"/>
      <c r="L30" s="147"/>
      <c r="M30" s="148"/>
      <c r="N30" s="147"/>
      <c r="O30" s="148"/>
      <c r="P30" s="147"/>
      <c r="Q30" s="36"/>
      <c r="R30" s="36"/>
      <c r="S30" s="36"/>
      <c r="T30" s="36"/>
      <c r="U30" s="37"/>
      <c r="V30" s="72" t="str">
        <f t="shared" si="4"/>
        <v xml:space="preserve"> </v>
      </c>
    </row>
    <row r="31" spans="1:43" x14ac:dyDescent="0.25">
      <c r="A31" t="str">
        <f t="shared" ref="A31:A33" si="20">H31 &amp; " " &amp; F31</f>
        <v xml:space="preserve"> </v>
      </c>
      <c r="B31" s="1">
        <f t="shared" ref="B31:B33" si="21">VLOOKUP(A31,$A$5:$B$28,2,FALSE)</f>
        <v>0</v>
      </c>
      <c r="C31" s="5" t="str">
        <f>IF(F32=0,""," / ")</f>
        <v/>
      </c>
      <c r="E31" s="19" t="s">
        <v>48</v>
      </c>
      <c r="F31" s="434"/>
      <c r="G31" s="435"/>
      <c r="H31" s="436"/>
      <c r="I31" s="435"/>
      <c r="J31" s="55">
        <f>IF(B31=1,"##",0)</f>
        <v>0</v>
      </c>
      <c r="K31" s="141"/>
      <c r="L31" s="34"/>
      <c r="M31" s="149"/>
      <c r="N31" s="34"/>
      <c r="O31" s="149"/>
      <c r="P31" s="34"/>
      <c r="Q31" s="38"/>
      <c r="R31" s="38"/>
      <c r="S31" s="38"/>
      <c r="T31" s="38"/>
      <c r="U31" s="30"/>
      <c r="V31" s="72" t="str">
        <f t="shared" si="4"/>
        <v xml:space="preserve"> </v>
      </c>
    </row>
    <row r="32" spans="1:43" x14ac:dyDescent="0.25">
      <c r="A32" t="str">
        <f t="shared" si="20"/>
        <v xml:space="preserve"> </v>
      </c>
      <c r="B32" s="1">
        <f t="shared" si="21"/>
        <v>0</v>
      </c>
      <c r="C32" s="5" t="str">
        <f>IF(F33=0,""," / ")</f>
        <v/>
      </c>
      <c r="E32" s="19" t="s">
        <v>49</v>
      </c>
      <c r="F32" s="434"/>
      <c r="G32" s="435"/>
      <c r="H32" s="436"/>
      <c r="I32" s="435"/>
      <c r="J32" s="55">
        <f t="shared" ref="J32:J33" si="22">IF(B32=1,"##",0)</f>
        <v>0</v>
      </c>
      <c r="K32" s="141"/>
      <c r="L32" s="34"/>
      <c r="M32" s="149"/>
      <c r="N32" s="34"/>
      <c r="O32" s="149"/>
      <c r="P32" s="34"/>
      <c r="Q32" s="38"/>
      <c r="R32" s="38"/>
      <c r="S32" s="38"/>
      <c r="T32" s="38"/>
      <c r="U32" s="30"/>
      <c r="V32" s="72" t="str">
        <f t="shared" si="4"/>
        <v xml:space="preserve"> </v>
      </c>
    </row>
    <row r="33" spans="1:43" ht="15.75" thickBot="1" x14ac:dyDescent="0.3">
      <c r="A33" t="str">
        <f t="shared" si="20"/>
        <v xml:space="preserve"> </v>
      </c>
      <c r="B33" s="1">
        <f t="shared" si="21"/>
        <v>0</v>
      </c>
      <c r="C33" s="1"/>
      <c r="D33" s="5"/>
      <c r="E33" s="20" t="s">
        <v>50</v>
      </c>
      <c r="F33" s="439"/>
      <c r="G33" s="440"/>
      <c r="H33" s="441"/>
      <c r="I33" s="440"/>
      <c r="J33" s="56">
        <f t="shared" si="22"/>
        <v>0</v>
      </c>
      <c r="K33" s="142"/>
      <c r="L33" s="35"/>
      <c r="M33" s="150"/>
      <c r="N33" s="35"/>
      <c r="O33" s="150"/>
      <c r="P33" s="35"/>
      <c r="Q33" s="39"/>
      <c r="R33" s="39"/>
      <c r="S33" s="39"/>
      <c r="T33" s="39"/>
      <c r="U33" s="32"/>
      <c r="V33" s="72" t="str">
        <f t="shared" si="4"/>
        <v xml:space="preserve"> </v>
      </c>
    </row>
    <row r="34" spans="1:43" x14ac:dyDescent="0.25">
      <c r="D34" s="5"/>
      <c r="E34" s="5"/>
      <c r="F34" s="379">
        <f>Grundeinstellungen!D17</f>
        <v>0</v>
      </c>
      <c r="G34" s="379"/>
      <c r="H34" s="379"/>
      <c r="I34" s="5"/>
      <c r="J34" s="5"/>
      <c r="K34" s="5"/>
      <c r="L34" s="5"/>
      <c r="M34" s="5"/>
      <c r="N34" s="5"/>
      <c r="O34" s="5"/>
      <c r="P34" s="5"/>
      <c r="Q34" s="5"/>
      <c r="V34" s="73"/>
    </row>
    <row r="35" spans="1:43" x14ac:dyDescent="0.25">
      <c r="B35" s="9"/>
      <c r="C35" s="9"/>
      <c r="D35" s="420" t="s">
        <v>35</v>
      </c>
      <c r="E35" s="420"/>
      <c r="F35" s="382"/>
      <c r="G35" s="382"/>
      <c r="H35" s="382"/>
      <c r="I35" s="420" t="s">
        <v>34</v>
      </c>
      <c r="J35" s="420"/>
      <c r="K35" s="420"/>
      <c r="L35" s="420"/>
      <c r="M35" s="420"/>
      <c r="N35" s="420"/>
      <c r="O35" s="134"/>
      <c r="P35" s="382" t="s">
        <v>32</v>
      </c>
      <c r="Q35" s="382"/>
      <c r="R35" s="382"/>
      <c r="S35" s="382"/>
      <c r="T35" s="438" t="s">
        <v>33</v>
      </c>
      <c r="U35" s="438"/>
      <c r="V35" s="74"/>
      <c r="W35" s="13">
        <f ca="1">TODAY()</f>
        <v>42418</v>
      </c>
    </row>
    <row r="36" spans="1:43" ht="15.75" thickBot="1" x14ac:dyDescent="0.3">
      <c r="D36" s="5"/>
      <c r="E36" s="5"/>
      <c r="F36" s="5"/>
      <c r="G36" s="5"/>
      <c r="H36" s="5"/>
      <c r="I36" s="5"/>
      <c r="J36" s="5"/>
      <c r="K36" s="52">
        <f>IF($Y$1=1,COUNTIF(K38:K49,"x"),-1)</f>
        <v>0</v>
      </c>
      <c r="L36" s="52">
        <f>IF($Y$1=1,COUNTIF(L38:L49,"x"),-1)</f>
        <v>0</v>
      </c>
      <c r="M36" s="52">
        <f>IF($Y$1=1,COUNTIF(M50:M61,"x"),-1)</f>
        <v>0</v>
      </c>
      <c r="N36" s="52">
        <f>IF($Y$1=1,COUNTIF(N50:N61,"x"),-1)</f>
        <v>0</v>
      </c>
      <c r="O36" s="52">
        <f>IF($Y$1=1,COUNTIF(O38:O49,"x"),-1)</f>
        <v>0</v>
      </c>
      <c r="P36" s="52">
        <f t="shared" ref="P36" si="23">IF($Y$1=1,COUNTIF(P38:P49,"x"),-1)</f>
        <v>0</v>
      </c>
      <c r="Q36" s="52">
        <f t="shared" ref="Q36:U36" si="24">IF($Y$1=1,COUNTIF(Q38:Q49,"x"),-1)</f>
        <v>0</v>
      </c>
      <c r="R36" s="52">
        <f>IF($Y$1=1,COUNTIF(R38:R61,"x"),-1)</f>
        <v>0</v>
      </c>
      <c r="S36" s="52">
        <f>IF($Y$1=1,COUNTIF(S38:S61,"x"),-1)</f>
        <v>0</v>
      </c>
      <c r="T36" s="52">
        <f t="shared" si="24"/>
        <v>0</v>
      </c>
      <c r="U36" s="52">
        <f t="shared" si="24"/>
        <v>0</v>
      </c>
      <c r="V36" s="75"/>
      <c r="AB36" s="1">
        <f>SUM(K36:U36)</f>
        <v>0</v>
      </c>
    </row>
    <row r="37" spans="1:43" ht="15.75" thickBot="1" x14ac:dyDescent="0.3">
      <c r="D37" s="5"/>
      <c r="E37" s="41" t="s">
        <v>36</v>
      </c>
      <c r="F37" s="428" t="s">
        <v>28</v>
      </c>
      <c r="G37" s="429"/>
      <c r="H37" s="429" t="s">
        <v>27</v>
      </c>
      <c r="I37" s="429"/>
      <c r="J37" s="21" t="s">
        <v>51</v>
      </c>
      <c r="K37" s="425" t="s">
        <v>52</v>
      </c>
      <c r="L37" s="426"/>
      <c r="M37" s="426" t="s">
        <v>53</v>
      </c>
      <c r="N37" s="427"/>
      <c r="O37" s="422" t="s">
        <v>54</v>
      </c>
      <c r="P37" s="423"/>
      <c r="Q37" s="28" t="s">
        <v>55</v>
      </c>
      <c r="R37" s="29" t="s">
        <v>56</v>
      </c>
      <c r="S37" s="28" t="s">
        <v>57</v>
      </c>
      <c r="T37" s="27" t="s">
        <v>58</v>
      </c>
      <c r="U37" s="28" t="s">
        <v>59</v>
      </c>
      <c r="V37" s="76"/>
      <c r="AB37" s="1">
        <f>SUM(AB3:AB36)</f>
        <v>0</v>
      </c>
      <c r="AC37" s="1">
        <v>30</v>
      </c>
      <c r="AE37" t="s">
        <v>315</v>
      </c>
      <c r="AF37" t="s">
        <v>316</v>
      </c>
      <c r="AI37" s="1">
        <f>IF(AH37="",0,1)</f>
        <v>0</v>
      </c>
    </row>
    <row r="38" spans="1:43" x14ac:dyDescent="0.25">
      <c r="A38" t="e">
        <f>H38 &amp; " " &amp; F38</f>
        <v>#N/A</v>
      </c>
      <c r="B38" s="1" t="e">
        <f>IF(J38=0,0,1)</f>
        <v>#N/A</v>
      </c>
      <c r="C38" s="1"/>
      <c r="D38" s="5"/>
      <c r="E38" s="40" t="s">
        <v>15</v>
      </c>
      <c r="F38" s="430" t="e">
        <f>VLOOKUP($F$34,Ranglisten!$A$23:$AW$42,2,FALSE)</f>
        <v>#N/A</v>
      </c>
      <c r="G38" s="431"/>
      <c r="H38" s="431" t="e">
        <f>VLOOKUP($F$34,Ranglisten!$A$23:$AW$42,3,FALSE)</f>
        <v>#N/A</v>
      </c>
      <c r="I38" s="431"/>
      <c r="J38" s="26" t="e">
        <f>VLOOKUP($F$34,Ranglisten!$A$23:$AW$42,4,FALSE)</f>
        <v>#N/A</v>
      </c>
      <c r="K38" s="137"/>
      <c r="L38" s="138"/>
      <c r="M38" s="151"/>
      <c r="N38" s="152"/>
      <c r="O38" s="163"/>
      <c r="P38" s="138"/>
      <c r="Q38" s="46"/>
      <c r="R38" s="33"/>
      <c r="S38" s="46"/>
      <c r="T38" s="138"/>
      <c r="U38" s="46"/>
      <c r="V38" s="72" t="e">
        <f>H38 &amp; " " &amp; F38</f>
        <v>#N/A</v>
      </c>
      <c r="W38" s="140">
        <f t="shared" ref="W38:W61" si="25">IF($Y$1=1,IF(AQ38&gt;0,3,COUNTIF(K38:U38,"x")),-1)</f>
        <v>0</v>
      </c>
      <c r="AB38" s="208">
        <f>IF(AB37=AC37,10,0)</f>
        <v>0</v>
      </c>
      <c r="AC38" s="208"/>
      <c r="AE38" t="e">
        <f>IF(J38=0,V38,"")</f>
        <v>#N/A</v>
      </c>
      <c r="AF38" s="1">
        <f>COUNTIF(K38:U38,"x")</f>
        <v>0</v>
      </c>
      <c r="AG38" t="str">
        <f>IF(AF38&gt;0,AE38,"")</f>
        <v/>
      </c>
      <c r="AH38" t="str">
        <f>IF(AI38=0,"",IF(AI38&gt;0,IF(AG39="",""," / "),""))</f>
        <v/>
      </c>
      <c r="AI38" s="1">
        <f>IF(AG38="",AI37,1+AI37)</f>
        <v>0</v>
      </c>
      <c r="AJ38" s="140">
        <f t="shared" ref="AJ38" si="26">COUNTIF(K38:P38,"x")</f>
        <v>0</v>
      </c>
      <c r="AK38" s="140">
        <f t="shared" ref="AK38" si="27">COUNTIF(Q38,"x")</f>
        <v>0</v>
      </c>
      <c r="AL38" s="140">
        <f t="shared" ref="AL38" si="28">COUNTIF(T38,"x")</f>
        <v>0</v>
      </c>
      <c r="AM38" s="140">
        <f t="shared" ref="AM38" si="29">COUNTIF(U38,"x")</f>
        <v>0</v>
      </c>
      <c r="AN38" s="140">
        <f t="shared" ref="AN38" si="30">AM38+AL38+AK38</f>
        <v>0</v>
      </c>
      <c r="AO38" s="140">
        <f t="shared" ref="AO38" si="31">IF(AJ38&gt;1,1,0)</f>
        <v>0</v>
      </c>
      <c r="AP38">
        <f t="shared" ref="AP38" si="32">IF(AN38&gt;1,1,0)</f>
        <v>0</v>
      </c>
      <c r="AQ38" s="140">
        <f t="shared" ref="AQ38" si="33">AP38+AO38</f>
        <v>0</v>
      </c>
    </row>
    <row r="39" spans="1:43" x14ac:dyDescent="0.25">
      <c r="A39" t="e">
        <f t="shared" ref="A39:A61" si="34">H39 &amp; " " &amp; F39</f>
        <v>#N/A</v>
      </c>
      <c r="B39" s="1" t="e">
        <f t="shared" ref="B39:B61" si="35">IF(J39=0,0,1)</f>
        <v>#N/A</v>
      </c>
      <c r="C39" s="1"/>
      <c r="D39" s="5"/>
      <c r="E39" s="18" t="s">
        <v>16</v>
      </c>
      <c r="F39" s="432" t="e">
        <f>VLOOKUP($F$34,Ranglisten!$A$23:$AW$42,5,FALSE)</f>
        <v>#N/A</v>
      </c>
      <c r="G39" s="433"/>
      <c r="H39" s="433" t="e">
        <f>VLOOKUP($F$34,Ranglisten!$A$23:$AW$42,6,FALSE)</f>
        <v>#N/A</v>
      </c>
      <c r="I39" s="433"/>
      <c r="J39" s="23" t="e">
        <f>VLOOKUP($F$34,Ranglisten!$A$23:$AW$42,7,FALSE)</f>
        <v>#N/A</v>
      </c>
      <c r="K39" s="135"/>
      <c r="L39" s="136"/>
      <c r="M39" s="153"/>
      <c r="N39" s="154"/>
      <c r="O39" s="146"/>
      <c r="P39" s="136"/>
      <c r="Q39" s="44"/>
      <c r="R39" s="31"/>
      <c r="S39" s="44"/>
      <c r="T39" s="136"/>
      <c r="U39" s="44"/>
      <c r="V39" s="72" t="e">
        <f t="shared" ref="V39:V66" si="36">H39 &amp; " " &amp; F39</f>
        <v>#N/A</v>
      </c>
      <c r="W39" s="140">
        <f t="shared" si="25"/>
        <v>0</v>
      </c>
      <c r="AE39" t="e">
        <f t="shared" ref="AE39:AE61" si="37">IF(J39=0,V39,"")</f>
        <v>#N/A</v>
      </c>
      <c r="AF39" s="1">
        <f t="shared" ref="AF39:AF61" si="38">COUNTIF(K39:U39,"x")</f>
        <v>0</v>
      </c>
      <c r="AG39" t="str">
        <f t="shared" ref="AG39:AG61" si="39">IF(AF39&gt;0,AE39,"")</f>
        <v/>
      </c>
      <c r="AH39" t="str">
        <f t="shared" ref="AH39:AH61" si="40">IF(AI39=0,"",IF(AI39&gt;0,IF(AG40="",""," / "),""))</f>
        <v/>
      </c>
      <c r="AI39" s="1">
        <f t="shared" ref="AI39:AI41" si="41">IF(AG39="",AI38,1+AI38)</f>
        <v>0</v>
      </c>
      <c r="AJ39" s="140">
        <f t="shared" ref="AJ39:AJ61" si="42">COUNTIF(K39:P39,"x")</f>
        <v>0</v>
      </c>
      <c r="AK39" s="140">
        <f t="shared" ref="AK39:AK61" si="43">COUNTIF(Q39,"x")</f>
        <v>0</v>
      </c>
      <c r="AL39" s="140">
        <f t="shared" ref="AL39:AL61" si="44">COUNTIF(T39,"x")</f>
        <v>0</v>
      </c>
      <c r="AM39" s="140">
        <f t="shared" ref="AM39:AM61" si="45">COUNTIF(U39,"x")</f>
        <v>0</v>
      </c>
      <c r="AN39" s="140">
        <f t="shared" ref="AN39:AN61" si="46">AM39+AL39+AK39</f>
        <v>0</v>
      </c>
      <c r="AO39" s="140">
        <f t="shared" ref="AO39:AO61" si="47">IF(AJ39&gt;1,1,0)</f>
        <v>0</v>
      </c>
      <c r="AP39">
        <f t="shared" ref="AP39:AP61" si="48">IF(AN39&gt;1,1,0)</f>
        <v>0</v>
      </c>
      <c r="AQ39" s="140">
        <f t="shared" ref="AQ39:AQ61" si="49">AP39+AO39</f>
        <v>0</v>
      </c>
    </row>
    <row r="40" spans="1:43" x14ac:dyDescent="0.25">
      <c r="A40" t="e">
        <f t="shared" si="34"/>
        <v>#N/A</v>
      </c>
      <c r="B40" s="1" t="e">
        <f t="shared" si="35"/>
        <v>#N/A</v>
      </c>
      <c r="C40" s="1"/>
      <c r="D40" s="5"/>
      <c r="E40" s="18" t="s">
        <v>17</v>
      </c>
      <c r="F40" s="432" t="e">
        <f>VLOOKUP($F$34,Ranglisten!$A$23:$AW$42,8,FALSE)</f>
        <v>#N/A</v>
      </c>
      <c r="G40" s="433"/>
      <c r="H40" s="433" t="e">
        <f>VLOOKUP($F$34,Ranglisten!$A$23:$AW$42,9,FALSE)</f>
        <v>#N/A</v>
      </c>
      <c r="I40" s="433"/>
      <c r="J40" s="23" t="e">
        <f>VLOOKUP($F$34,Ranglisten!$A$23:$AW$42,10,FALSE)</f>
        <v>#N/A</v>
      </c>
      <c r="K40" s="135"/>
      <c r="L40" s="136"/>
      <c r="M40" s="153"/>
      <c r="N40" s="154"/>
      <c r="O40" s="146"/>
      <c r="P40" s="136"/>
      <c r="Q40" s="44"/>
      <c r="R40" s="31"/>
      <c r="S40" s="44"/>
      <c r="T40" s="136"/>
      <c r="U40" s="44"/>
      <c r="V40" s="72" t="e">
        <f t="shared" si="36"/>
        <v>#N/A</v>
      </c>
      <c r="W40" s="140">
        <f t="shared" si="25"/>
        <v>0</v>
      </c>
      <c r="AE40" t="e">
        <f t="shared" si="37"/>
        <v>#N/A</v>
      </c>
      <c r="AF40" s="1">
        <f t="shared" si="38"/>
        <v>0</v>
      </c>
      <c r="AG40" t="str">
        <f t="shared" si="39"/>
        <v/>
      </c>
      <c r="AH40" t="str">
        <f t="shared" si="40"/>
        <v/>
      </c>
      <c r="AI40" s="1">
        <f t="shared" si="41"/>
        <v>0</v>
      </c>
      <c r="AJ40" s="140">
        <f t="shared" si="42"/>
        <v>0</v>
      </c>
      <c r="AK40" s="140">
        <f t="shared" si="43"/>
        <v>0</v>
      </c>
      <c r="AL40" s="140">
        <f t="shared" si="44"/>
        <v>0</v>
      </c>
      <c r="AM40" s="140">
        <f t="shared" si="45"/>
        <v>0</v>
      </c>
      <c r="AN40" s="140">
        <f t="shared" si="46"/>
        <v>0</v>
      </c>
      <c r="AO40" s="140">
        <f t="shared" si="47"/>
        <v>0</v>
      </c>
      <c r="AP40">
        <f t="shared" si="48"/>
        <v>0</v>
      </c>
      <c r="AQ40" s="140">
        <f t="shared" si="49"/>
        <v>0</v>
      </c>
    </row>
    <row r="41" spans="1:43" x14ac:dyDescent="0.25">
      <c r="A41" t="e">
        <f t="shared" si="34"/>
        <v>#N/A</v>
      </c>
      <c r="B41" s="1" t="e">
        <f t="shared" si="35"/>
        <v>#N/A</v>
      </c>
      <c r="C41" s="1"/>
      <c r="D41" s="5"/>
      <c r="E41" s="18" t="s">
        <v>18</v>
      </c>
      <c r="F41" s="432" t="e">
        <f>VLOOKUP($F$34,Ranglisten!$A$23:$AW$42,11,FALSE)</f>
        <v>#N/A</v>
      </c>
      <c r="G41" s="433"/>
      <c r="H41" s="433" t="e">
        <f>VLOOKUP($F$34,Ranglisten!$A$23:$AW$42,12,FALSE)</f>
        <v>#N/A</v>
      </c>
      <c r="I41" s="433"/>
      <c r="J41" s="23" t="e">
        <f>VLOOKUP($F$34,Ranglisten!$A$23:$AW$42,13,FALSE)</f>
        <v>#N/A</v>
      </c>
      <c r="K41" s="135"/>
      <c r="L41" s="136"/>
      <c r="M41" s="153"/>
      <c r="N41" s="154"/>
      <c r="O41" s="146"/>
      <c r="P41" s="136"/>
      <c r="Q41" s="44"/>
      <c r="R41" s="31"/>
      <c r="S41" s="44"/>
      <c r="T41" s="136"/>
      <c r="U41" s="44"/>
      <c r="V41" s="72" t="e">
        <f t="shared" si="36"/>
        <v>#N/A</v>
      </c>
      <c r="W41" s="140">
        <f t="shared" si="25"/>
        <v>0</v>
      </c>
      <c r="AE41" t="e">
        <f t="shared" si="37"/>
        <v>#N/A</v>
      </c>
      <c r="AF41" s="1">
        <f t="shared" si="38"/>
        <v>0</v>
      </c>
      <c r="AG41" t="str">
        <f t="shared" si="39"/>
        <v/>
      </c>
      <c r="AH41" t="str">
        <f t="shared" si="40"/>
        <v/>
      </c>
      <c r="AI41" s="1">
        <f t="shared" si="41"/>
        <v>0</v>
      </c>
      <c r="AJ41" s="140">
        <f t="shared" si="42"/>
        <v>0</v>
      </c>
      <c r="AK41" s="140">
        <f t="shared" si="43"/>
        <v>0</v>
      </c>
      <c r="AL41" s="140">
        <f t="shared" si="44"/>
        <v>0</v>
      </c>
      <c r="AM41" s="140">
        <f t="shared" si="45"/>
        <v>0</v>
      </c>
      <c r="AN41" s="140">
        <f t="shared" si="46"/>
        <v>0</v>
      </c>
      <c r="AO41" s="140">
        <f t="shared" si="47"/>
        <v>0</v>
      </c>
      <c r="AP41">
        <f t="shared" si="48"/>
        <v>0</v>
      </c>
      <c r="AQ41" s="140">
        <f t="shared" si="49"/>
        <v>0</v>
      </c>
    </row>
    <row r="42" spans="1:43" x14ac:dyDescent="0.25">
      <c r="A42" t="e">
        <f t="shared" si="34"/>
        <v>#N/A</v>
      </c>
      <c r="B42" s="1" t="e">
        <f t="shared" si="35"/>
        <v>#N/A</v>
      </c>
      <c r="C42" s="1"/>
      <c r="D42" s="5"/>
      <c r="E42" s="18" t="s">
        <v>19</v>
      </c>
      <c r="F42" s="432" t="e">
        <f>VLOOKUP($F$34,Ranglisten!$A$23:$AW$42,14,FALSE)</f>
        <v>#N/A</v>
      </c>
      <c r="G42" s="433"/>
      <c r="H42" s="433" t="e">
        <f>VLOOKUP($F$34,Ranglisten!$A$23:$AW$42,15,FALSE)</f>
        <v>#N/A</v>
      </c>
      <c r="I42" s="433"/>
      <c r="J42" s="23" t="e">
        <f>VLOOKUP($F$34,Ranglisten!$A$23:$AW$42,16,FALSE)</f>
        <v>#N/A</v>
      </c>
      <c r="K42" s="135"/>
      <c r="L42" s="136"/>
      <c r="M42" s="153"/>
      <c r="N42" s="154"/>
      <c r="O42" s="146"/>
      <c r="P42" s="136"/>
      <c r="Q42" s="44"/>
      <c r="R42" s="31"/>
      <c r="S42" s="44"/>
      <c r="T42" s="136"/>
      <c r="U42" s="44"/>
      <c r="V42" s="72" t="e">
        <f t="shared" si="36"/>
        <v>#N/A</v>
      </c>
      <c r="W42" s="140">
        <f t="shared" si="25"/>
        <v>0</v>
      </c>
      <c r="AE42" t="e">
        <f t="shared" si="37"/>
        <v>#N/A</v>
      </c>
      <c r="AF42" s="1">
        <f t="shared" si="38"/>
        <v>0</v>
      </c>
      <c r="AG42" t="str">
        <f t="shared" si="39"/>
        <v/>
      </c>
      <c r="AH42" t="str">
        <f t="shared" si="40"/>
        <v/>
      </c>
      <c r="AI42" s="1">
        <f>IF(AG42="",AI41,1+AI41)</f>
        <v>0</v>
      </c>
      <c r="AJ42" s="140">
        <f t="shared" si="42"/>
        <v>0</v>
      </c>
      <c r="AK42" s="140">
        <f t="shared" si="43"/>
        <v>0</v>
      </c>
      <c r="AL42" s="140">
        <f t="shared" si="44"/>
        <v>0</v>
      </c>
      <c r="AM42" s="140">
        <f t="shared" si="45"/>
        <v>0</v>
      </c>
      <c r="AN42" s="140">
        <f t="shared" si="46"/>
        <v>0</v>
      </c>
      <c r="AO42" s="140">
        <f t="shared" si="47"/>
        <v>0</v>
      </c>
      <c r="AP42">
        <f t="shared" si="48"/>
        <v>0</v>
      </c>
      <c r="AQ42" s="140">
        <f t="shared" si="49"/>
        <v>0</v>
      </c>
    </row>
    <row r="43" spans="1:43" x14ac:dyDescent="0.25">
      <c r="A43" t="e">
        <f t="shared" si="34"/>
        <v>#N/A</v>
      </c>
      <c r="B43" s="1" t="e">
        <f t="shared" si="35"/>
        <v>#N/A</v>
      </c>
      <c r="C43" s="1"/>
      <c r="D43" s="5"/>
      <c r="E43" s="18" t="s">
        <v>20</v>
      </c>
      <c r="F43" s="432" t="e">
        <f>VLOOKUP($F$34,Ranglisten!$A$23:$AW$42,17,FALSE)</f>
        <v>#N/A</v>
      </c>
      <c r="G43" s="433"/>
      <c r="H43" s="433" t="e">
        <f>VLOOKUP($F$34,Ranglisten!$A$23:$AW$42,18,FALSE)</f>
        <v>#N/A</v>
      </c>
      <c r="I43" s="433"/>
      <c r="J43" s="23" t="e">
        <f>VLOOKUP($F$34,Ranglisten!$A$23:$AW$42,19,FALSE)</f>
        <v>#N/A</v>
      </c>
      <c r="K43" s="135"/>
      <c r="L43" s="136"/>
      <c r="M43" s="153"/>
      <c r="N43" s="154"/>
      <c r="O43" s="146"/>
      <c r="P43" s="136"/>
      <c r="Q43" s="44"/>
      <c r="R43" s="31"/>
      <c r="S43" s="44"/>
      <c r="T43" s="136"/>
      <c r="U43" s="44"/>
      <c r="V43" s="72" t="e">
        <f t="shared" si="36"/>
        <v>#N/A</v>
      </c>
      <c r="W43" s="140">
        <f t="shared" si="25"/>
        <v>0</v>
      </c>
      <c r="AE43" t="e">
        <f t="shared" si="37"/>
        <v>#N/A</v>
      </c>
      <c r="AF43" s="1">
        <f t="shared" si="38"/>
        <v>0</v>
      </c>
      <c r="AG43" t="str">
        <f t="shared" si="39"/>
        <v/>
      </c>
      <c r="AH43" t="str">
        <f t="shared" si="40"/>
        <v/>
      </c>
      <c r="AI43" s="1">
        <f t="shared" ref="AI43:AI61" si="50">IF(AG43="",AI42,1+AI42)</f>
        <v>0</v>
      </c>
      <c r="AJ43" s="140">
        <f t="shared" si="42"/>
        <v>0</v>
      </c>
      <c r="AK43" s="140">
        <f t="shared" si="43"/>
        <v>0</v>
      </c>
      <c r="AL43" s="140">
        <f t="shared" si="44"/>
        <v>0</v>
      </c>
      <c r="AM43" s="140">
        <f t="shared" si="45"/>
        <v>0</v>
      </c>
      <c r="AN43" s="140">
        <f t="shared" si="46"/>
        <v>0</v>
      </c>
      <c r="AO43" s="140">
        <f t="shared" si="47"/>
        <v>0</v>
      </c>
      <c r="AP43">
        <f t="shared" si="48"/>
        <v>0</v>
      </c>
      <c r="AQ43" s="140">
        <f t="shared" si="49"/>
        <v>0</v>
      </c>
    </row>
    <row r="44" spans="1:43" x14ac:dyDescent="0.25">
      <c r="A44" t="e">
        <f t="shared" si="34"/>
        <v>#N/A</v>
      </c>
      <c r="B44" s="1" t="e">
        <f t="shared" si="35"/>
        <v>#N/A</v>
      </c>
      <c r="C44" s="1"/>
      <c r="D44" s="5"/>
      <c r="E44" s="18" t="s">
        <v>21</v>
      </c>
      <c r="F44" s="432" t="e">
        <f>VLOOKUP($F$34,Ranglisten!$A$23:$AW$42,20,FALSE)</f>
        <v>#N/A</v>
      </c>
      <c r="G44" s="433"/>
      <c r="H44" s="433" t="e">
        <f>VLOOKUP($F$34,Ranglisten!$A$23:$AW$42,21,FALSE)</f>
        <v>#N/A</v>
      </c>
      <c r="I44" s="433"/>
      <c r="J44" s="23" t="e">
        <f>VLOOKUP($F$34,Ranglisten!$A$23:$AW$42,22,FALSE)</f>
        <v>#N/A</v>
      </c>
      <c r="K44" s="135"/>
      <c r="L44" s="136"/>
      <c r="M44" s="153"/>
      <c r="N44" s="154"/>
      <c r="O44" s="146"/>
      <c r="P44" s="136"/>
      <c r="Q44" s="44"/>
      <c r="R44" s="31"/>
      <c r="S44" s="44"/>
      <c r="T44" s="136"/>
      <c r="U44" s="44"/>
      <c r="V44" s="72" t="e">
        <f t="shared" si="36"/>
        <v>#N/A</v>
      </c>
      <c r="W44" s="140">
        <f t="shared" si="25"/>
        <v>0</v>
      </c>
      <c r="AE44" t="e">
        <f t="shared" si="37"/>
        <v>#N/A</v>
      </c>
      <c r="AF44" s="1">
        <f t="shared" si="38"/>
        <v>0</v>
      </c>
      <c r="AG44" t="str">
        <f t="shared" si="39"/>
        <v/>
      </c>
      <c r="AH44" t="str">
        <f t="shared" si="40"/>
        <v/>
      </c>
      <c r="AI44" s="1">
        <f t="shared" si="50"/>
        <v>0</v>
      </c>
      <c r="AJ44" s="140">
        <f t="shared" si="42"/>
        <v>0</v>
      </c>
      <c r="AK44" s="140">
        <f t="shared" si="43"/>
        <v>0</v>
      </c>
      <c r="AL44" s="140">
        <f t="shared" si="44"/>
        <v>0</v>
      </c>
      <c r="AM44" s="140">
        <f t="shared" si="45"/>
        <v>0</v>
      </c>
      <c r="AN44" s="140">
        <f t="shared" si="46"/>
        <v>0</v>
      </c>
      <c r="AO44" s="140">
        <f t="shared" si="47"/>
        <v>0</v>
      </c>
      <c r="AP44">
        <f t="shared" si="48"/>
        <v>0</v>
      </c>
      <c r="AQ44" s="140">
        <f t="shared" si="49"/>
        <v>0</v>
      </c>
    </row>
    <row r="45" spans="1:43" x14ac:dyDescent="0.25">
      <c r="A45" t="e">
        <f t="shared" si="34"/>
        <v>#N/A</v>
      </c>
      <c r="B45" s="1" t="e">
        <f t="shared" si="35"/>
        <v>#N/A</v>
      </c>
      <c r="C45" s="1"/>
      <c r="D45" s="5"/>
      <c r="E45" s="18" t="s">
        <v>22</v>
      </c>
      <c r="F45" s="432" t="e">
        <f>VLOOKUP($F$34,Ranglisten!$A$23:$AW$42,23,FALSE)</f>
        <v>#N/A</v>
      </c>
      <c r="G45" s="433"/>
      <c r="H45" s="433" t="e">
        <f>VLOOKUP($F$34,Ranglisten!$A$23:$AW$42,24,FALSE)</f>
        <v>#N/A</v>
      </c>
      <c r="I45" s="433"/>
      <c r="J45" s="23" t="e">
        <f>VLOOKUP($F$34,Ranglisten!$A$23:$AW$42,25,FALSE)</f>
        <v>#N/A</v>
      </c>
      <c r="K45" s="135"/>
      <c r="L45" s="136"/>
      <c r="M45" s="153"/>
      <c r="N45" s="154"/>
      <c r="O45" s="146"/>
      <c r="P45" s="136"/>
      <c r="Q45" s="44"/>
      <c r="R45" s="31"/>
      <c r="S45" s="44"/>
      <c r="T45" s="136"/>
      <c r="U45" s="44"/>
      <c r="V45" s="72" t="e">
        <f t="shared" si="36"/>
        <v>#N/A</v>
      </c>
      <c r="W45" s="140">
        <f t="shared" si="25"/>
        <v>0</v>
      </c>
      <c r="AE45" t="e">
        <f t="shared" si="37"/>
        <v>#N/A</v>
      </c>
      <c r="AF45" s="1">
        <f t="shared" si="38"/>
        <v>0</v>
      </c>
      <c r="AG45" t="str">
        <f t="shared" si="39"/>
        <v/>
      </c>
      <c r="AH45" t="str">
        <f t="shared" si="40"/>
        <v/>
      </c>
      <c r="AI45" s="1">
        <f t="shared" si="50"/>
        <v>0</v>
      </c>
      <c r="AJ45" s="140">
        <f t="shared" si="42"/>
        <v>0</v>
      </c>
      <c r="AK45" s="140">
        <f t="shared" si="43"/>
        <v>0</v>
      </c>
      <c r="AL45" s="140">
        <f t="shared" si="44"/>
        <v>0</v>
      </c>
      <c r="AM45" s="140">
        <f t="shared" si="45"/>
        <v>0</v>
      </c>
      <c r="AN45" s="140">
        <f t="shared" si="46"/>
        <v>0</v>
      </c>
      <c r="AO45" s="140">
        <f t="shared" si="47"/>
        <v>0</v>
      </c>
      <c r="AP45">
        <f t="shared" si="48"/>
        <v>0</v>
      </c>
      <c r="AQ45" s="140">
        <f t="shared" si="49"/>
        <v>0</v>
      </c>
    </row>
    <row r="46" spans="1:43" x14ac:dyDescent="0.25">
      <c r="A46" t="str">
        <f t="shared" si="34"/>
        <v xml:space="preserve"> </v>
      </c>
      <c r="B46" s="1">
        <f t="shared" si="35"/>
        <v>0</v>
      </c>
      <c r="C46" s="1"/>
      <c r="D46" s="5"/>
      <c r="E46" s="18" t="s">
        <v>38</v>
      </c>
      <c r="F46" s="449"/>
      <c r="G46" s="450"/>
      <c r="H46" s="450"/>
      <c r="I46" s="450"/>
      <c r="J46" s="50"/>
      <c r="K46" s="135"/>
      <c r="L46" s="136"/>
      <c r="M46" s="153"/>
      <c r="N46" s="154"/>
      <c r="O46" s="146"/>
      <c r="P46" s="136"/>
      <c r="Q46" s="44"/>
      <c r="R46" s="31"/>
      <c r="S46" s="44"/>
      <c r="T46" s="136"/>
      <c r="U46" s="44"/>
      <c r="V46" s="72" t="str">
        <f t="shared" si="36"/>
        <v xml:space="preserve"> </v>
      </c>
      <c r="W46" s="140">
        <f t="shared" si="25"/>
        <v>0</v>
      </c>
      <c r="AE46" t="str">
        <f t="shared" si="37"/>
        <v xml:space="preserve"> </v>
      </c>
      <c r="AF46" s="1">
        <f t="shared" si="38"/>
        <v>0</v>
      </c>
      <c r="AG46" t="str">
        <f t="shared" si="39"/>
        <v/>
      </c>
      <c r="AH46" t="str">
        <f t="shared" si="40"/>
        <v/>
      </c>
      <c r="AI46" s="1">
        <f t="shared" si="50"/>
        <v>0</v>
      </c>
      <c r="AJ46" s="140">
        <f t="shared" si="42"/>
        <v>0</v>
      </c>
      <c r="AK46" s="140">
        <f t="shared" si="43"/>
        <v>0</v>
      </c>
      <c r="AL46" s="140">
        <f t="shared" si="44"/>
        <v>0</v>
      </c>
      <c r="AM46" s="140">
        <f t="shared" si="45"/>
        <v>0</v>
      </c>
      <c r="AN46" s="140">
        <f t="shared" si="46"/>
        <v>0</v>
      </c>
      <c r="AO46" s="140">
        <f t="shared" si="47"/>
        <v>0</v>
      </c>
      <c r="AP46">
        <f t="shared" si="48"/>
        <v>0</v>
      </c>
      <c r="AQ46" s="140">
        <f t="shared" si="49"/>
        <v>0</v>
      </c>
    </row>
    <row r="47" spans="1:43" x14ac:dyDescent="0.25">
      <c r="A47" t="str">
        <f t="shared" si="34"/>
        <v xml:space="preserve"> </v>
      </c>
      <c r="B47" s="1">
        <f t="shared" si="35"/>
        <v>0</v>
      </c>
      <c r="C47" s="1"/>
      <c r="D47" s="5"/>
      <c r="E47" s="18" t="s">
        <v>38</v>
      </c>
      <c r="F47" s="449"/>
      <c r="G47" s="450"/>
      <c r="H47" s="450"/>
      <c r="I47" s="450"/>
      <c r="J47" s="50"/>
      <c r="K47" s="135"/>
      <c r="L47" s="136"/>
      <c r="M47" s="153"/>
      <c r="N47" s="154"/>
      <c r="O47" s="146"/>
      <c r="P47" s="136"/>
      <c r="Q47" s="44"/>
      <c r="R47" s="31"/>
      <c r="S47" s="44"/>
      <c r="T47" s="136"/>
      <c r="U47" s="44"/>
      <c r="V47" s="72" t="str">
        <f t="shared" si="36"/>
        <v xml:space="preserve"> </v>
      </c>
      <c r="W47" s="140">
        <f t="shared" si="25"/>
        <v>0</v>
      </c>
      <c r="AE47" t="str">
        <f t="shared" si="37"/>
        <v xml:space="preserve"> </v>
      </c>
      <c r="AF47" s="1">
        <f t="shared" si="38"/>
        <v>0</v>
      </c>
      <c r="AG47" t="str">
        <f t="shared" si="39"/>
        <v/>
      </c>
      <c r="AH47" t="str">
        <f t="shared" si="40"/>
        <v/>
      </c>
      <c r="AI47" s="1">
        <f t="shared" si="50"/>
        <v>0</v>
      </c>
      <c r="AJ47" s="140">
        <f t="shared" si="42"/>
        <v>0</v>
      </c>
      <c r="AK47" s="140">
        <f t="shared" si="43"/>
        <v>0</v>
      </c>
      <c r="AL47" s="140">
        <f t="shared" si="44"/>
        <v>0</v>
      </c>
      <c r="AM47" s="140">
        <f t="shared" si="45"/>
        <v>0</v>
      </c>
      <c r="AN47" s="140">
        <f t="shared" si="46"/>
        <v>0</v>
      </c>
      <c r="AO47" s="140">
        <f t="shared" si="47"/>
        <v>0</v>
      </c>
      <c r="AP47">
        <f t="shared" si="48"/>
        <v>0</v>
      </c>
      <c r="AQ47" s="140">
        <f t="shared" si="49"/>
        <v>0</v>
      </c>
    </row>
    <row r="48" spans="1:43" x14ac:dyDescent="0.25">
      <c r="A48" t="str">
        <f t="shared" si="34"/>
        <v xml:space="preserve"> </v>
      </c>
      <c r="B48" s="1">
        <f t="shared" si="35"/>
        <v>0</v>
      </c>
      <c r="C48" s="1"/>
      <c r="D48" s="5"/>
      <c r="E48" s="18" t="s">
        <v>38</v>
      </c>
      <c r="F48" s="449"/>
      <c r="G48" s="450"/>
      <c r="H48" s="450"/>
      <c r="I48" s="450"/>
      <c r="J48" s="50"/>
      <c r="K48" s="135"/>
      <c r="L48" s="136"/>
      <c r="M48" s="153"/>
      <c r="N48" s="154"/>
      <c r="O48" s="146"/>
      <c r="P48" s="136"/>
      <c r="Q48" s="44"/>
      <c r="R48" s="31"/>
      <c r="S48" s="44"/>
      <c r="T48" s="136"/>
      <c r="U48" s="44"/>
      <c r="V48" s="72" t="str">
        <f t="shared" si="36"/>
        <v xml:space="preserve"> </v>
      </c>
      <c r="W48" s="140">
        <f t="shared" si="25"/>
        <v>0</v>
      </c>
      <c r="AE48" t="str">
        <f t="shared" si="37"/>
        <v xml:space="preserve"> </v>
      </c>
      <c r="AF48" s="1">
        <f t="shared" si="38"/>
        <v>0</v>
      </c>
      <c r="AG48" t="str">
        <f t="shared" si="39"/>
        <v/>
      </c>
      <c r="AH48" t="str">
        <f t="shared" si="40"/>
        <v/>
      </c>
      <c r="AI48" s="1">
        <f t="shared" si="50"/>
        <v>0</v>
      </c>
      <c r="AJ48" s="140">
        <f t="shared" si="42"/>
        <v>0</v>
      </c>
      <c r="AK48" s="140">
        <f t="shared" si="43"/>
        <v>0</v>
      </c>
      <c r="AL48" s="140">
        <f t="shared" si="44"/>
        <v>0</v>
      </c>
      <c r="AM48" s="140">
        <f t="shared" si="45"/>
        <v>0</v>
      </c>
      <c r="AN48" s="140">
        <f t="shared" si="46"/>
        <v>0</v>
      </c>
      <c r="AO48" s="140">
        <f t="shared" si="47"/>
        <v>0</v>
      </c>
      <c r="AP48">
        <f t="shared" si="48"/>
        <v>0</v>
      </c>
      <c r="AQ48" s="140">
        <f t="shared" si="49"/>
        <v>0</v>
      </c>
    </row>
    <row r="49" spans="1:43" x14ac:dyDescent="0.25">
      <c r="A49" t="str">
        <f t="shared" si="34"/>
        <v xml:space="preserve"> </v>
      </c>
      <c r="B49" s="1">
        <f t="shared" si="35"/>
        <v>0</v>
      </c>
      <c r="C49" s="1"/>
      <c r="D49" s="5"/>
      <c r="E49" s="18" t="s">
        <v>38</v>
      </c>
      <c r="F49" s="449"/>
      <c r="G49" s="450"/>
      <c r="H49" s="450"/>
      <c r="I49" s="450"/>
      <c r="J49" s="50"/>
      <c r="K49" s="135"/>
      <c r="L49" s="136"/>
      <c r="M49" s="153"/>
      <c r="N49" s="154"/>
      <c r="O49" s="146"/>
      <c r="P49" s="136"/>
      <c r="Q49" s="44"/>
      <c r="R49" s="31"/>
      <c r="S49" s="44"/>
      <c r="T49" s="136"/>
      <c r="U49" s="44"/>
      <c r="V49" s="72" t="str">
        <f t="shared" si="36"/>
        <v xml:space="preserve"> </v>
      </c>
      <c r="W49" s="140">
        <f t="shared" si="25"/>
        <v>0</v>
      </c>
      <c r="AE49" t="str">
        <f t="shared" si="37"/>
        <v xml:space="preserve"> </v>
      </c>
      <c r="AF49" s="1">
        <f t="shared" si="38"/>
        <v>0</v>
      </c>
      <c r="AG49" t="str">
        <f t="shared" si="39"/>
        <v/>
      </c>
      <c r="AH49" t="str">
        <f t="shared" si="40"/>
        <v/>
      </c>
      <c r="AI49" s="1">
        <f t="shared" si="50"/>
        <v>0</v>
      </c>
      <c r="AJ49" s="140">
        <f t="shared" si="42"/>
        <v>0</v>
      </c>
      <c r="AK49" s="140">
        <f t="shared" si="43"/>
        <v>0</v>
      </c>
      <c r="AL49" s="140">
        <f t="shared" si="44"/>
        <v>0</v>
      </c>
      <c r="AM49" s="140">
        <f t="shared" si="45"/>
        <v>0</v>
      </c>
      <c r="AN49" s="140">
        <f t="shared" si="46"/>
        <v>0</v>
      </c>
      <c r="AO49" s="140">
        <f t="shared" si="47"/>
        <v>0</v>
      </c>
      <c r="AP49">
        <f t="shared" si="48"/>
        <v>0</v>
      </c>
      <c r="AQ49" s="140">
        <f t="shared" si="49"/>
        <v>0</v>
      </c>
    </row>
    <row r="50" spans="1:43" x14ac:dyDescent="0.25">
      <c r="A50" t="e">
        <f t="shared" si="34"/>
        <v>#N/A</v>
      </c>
      <c r="B50" s="1" t="e">
        <f t="shared" si="35"/>
        <v>#N/A</v>
      </c>
      <c r="C50" s="1"/>
      <c r="D50" s="5"/>
      <c r="E50" s="19" t="s">
        <v>37</v>
      </c>
      <c r="F50" s="432" t="e">
        <f>VLOOKUP($F$34,Ranglisten!$A$23:$AW$42,26,FALSE)</f>
        <v>#N/A</v>
      </c>
      <c r="G50" s="437"/>
      <c r="H50" s="433" t="e">
        <f>VLOOKUP($F$34,Ranglisten!$A$23:$AW$42,27,FALSE)</f>
        <v>#N/A</v>
      </c>
      <c r="I50" s="433"/>
      <c r="J50" s="23" t="e">
        <f>VLOOKUP($F$34,Ranglisten!$A$23:$AW$42,28,FALSE)</f>
        <v>#N/A</v>
      </c>
      <c r="K50" s="155"/>
      <c r="L50" s="156"/>
      <c r="M50" s="161"/>
      <c r="N50" s="143"/>
      <c r="O50" s="155"/>
      <c r="P50" s="156"/>
      <c r="Q50" s="159"/>
      <c r="R50" s="139"/>
      <c r="S50" s="44"/>
      <c r="T50" s="34"/>
      <c r="U50" s="30"/>
      <c r="V50" s="72" t="e">
        <f t="shared" si="36"/>
        <v>#N/A</v>
      </c>
      <c r="W50" s="140">
        <f t="shared" si="25"/>
        <v>0</v>
      </c>
      <c r="AE50" t="e">
        <f t="shared" si="37"/>
        <v>#N/A</v>
      </c>
      <c r="AF50" s="1">
        <f t="shared" si="38"/>
        <v>0</v>
      </c>
      <c r="AG50" t="str">
        <f t="shared" si="39"/>
        <v/>
      </c>
      <c r="AH50" t="str">
        <f t="shared" si="40"/>
        <v/>
      </c>
      <c r="AI50" s="1">
        <f t="shared" si="50"/>
        <v>0</v>
      </c>
      <c r="AJ50" s="140">
        <f t="shared" si="42"/>
        <v>0</v>
      </c>
      <c r="AK50" s="140">
        <f t="shared" si="43"/>
        <v>0</v>
      </c>
      <c r="AL50" s="140">
        <f t="shared" si="44"/>
        <v>0</v>
      </c>
      <c r="AM50" s="140">
        <f t="shared" si="45"/>
        <v>0</v>
      </c>
      <c r="AN50" s="140">
        <f t="shared" si="46"/>
        <v>0</v>
      </c>
      <c r="AO50" s="140">
        <f t="shared" si="47"/>
        <v>0</v>
      </c>
      <c r="AP50">
        <f t="shared" si="48"/>
        <v>0</v>
      </c>
      <c r="AQ50" s="140">
        <f t="shared" si="49"/>
        <v>0</v>
      </c>
    </row>
    <row r="51" spans="1:43" x14ac:dyDescent="0.25">
      <c r="A51" t="e">
        <f t="shared" si="34"/>
        <v>#N/A</v>
      </c>
      <c r="B51" s="1" t="e">
        <f t="shared" si="35"/>
        <v>#N/A</v>
      </c>
      <c r="C51" s="1"/>
      <c r="D51" s="5"/>
      <c r="E51" s="19" t="s">
        <v>39</v>
      </c>
      <c r="F51" s="432" t="e">
        <f>VLOOKUP($F$34,Ranglisten!$A$23:$AW$42,29,FALSE)</f>
        <v>#N/A</v>
      </c>
      <c r="G51" s="433"/>
      <c r="H51" s="433" t="e">
        <f>VLOOKUP($F$34,Ranglisten!$A$23:$AW$42,30,FALSE)</f>
        <v>#N/A</v>
      </c>
      <c r="I51" s="433"/>
      <c r="J51" s="23" t="e">
        <f>VLOOKUP($F$34,Ranglisten!$A$23:$AW$42,31,FALSE)</f>
        <v>#N/A</v>
      </c>
      <c r="K51" s="155"/>
      <c r="L51" s="156"/>
      <c r="M51" s="161"/>
      <c r="N51" s="143"/>
      <c r="O51" s="155"/>
      <c r="P51" s="156"/>
      <c r="Q51" s="159"/>
      <c r="R51" s="139"/>
      <c r="S51" s="44"/>
      <c r="T51" s="34"/>
      <c r="U51" s="30"/>
      <c r="V51" s="72" t="e">
        <f t="shared" si="36"/>
        <v>#N/A</v>
      </c>
      <c r="W51" s="140">
        <f t="shared" si="25"/>
        <v>0</v>
      </c>
      <c r="AE51" t="e">
        <f t="shared" si="37"/>
        <v>#N/A</v>
      </c>
      <c r="AF51" s="1">
        <f t="shared" si="38"/>
        <v>0</v>
      </c>
      <c r="AG51" t="str">
        <f t="shared" si="39"/>
        <v/>
      </c>
      <c r="AH51" t="str">
        <f t="shared" si="40"/>
        <v/>
      </c>
      <c r="AI51" s="1">
        <f t="shared" si="50"/>
        <v>0</v>
      </c>
      <c r="AJ51" s="140">
        <f t="shared" si="42"/>
        <v>0</v>
      </c>
      <c r="AK51" s="140">
        <f t="shared" si="43"/>
        <v>0</v>
      </c>
      <c r="AL51" s="140">
        <f t="shared" si="44"/>
        <v>0</v>
      </c>
      <c r="AM51" s="140">
        <f t="shared" si="45"/>
        <v>0</v>
      </c>
      <c r="AN51" s="140">
        <f t="shared" si="46"/>
        <v>0</v>
      </c>
      <c r="AO51" s="140">
        <f t="shared" si="47"/>
        <v>0</v>
      </c>
      <c r="AP51">
        <f t="shared" si="48"/>
        <v>0</v>
      </c>
      <c r="AQ51" s="140">
        <f t="shared" si="49"/>
        <v>0</v>
      </c>
    </row>
    <row r="52" spans="1:43" x14ac:dyDescent="0.25">
      <c r="A52" t="e">
        <f t="shared" si="34"/>
        <v>#N/A</v>
      </c>
      <c r="B52" s="1" t="e">
        <f t="shared" si="35"/>
        <v>#N/A</v>
      </c>
      <c r="C52" s="1"/>
      <c r="D52" s="5"/>
      <c r="E52" s="19" t="s">
        <v>40</v>
      </c>
      <c r="F52" s="432" t="e">
        <f>VLOOKUP($F$34,Ranglisten!$A$23:$AW$42,32,FALSE)</f>
        <v>#N/A</v>
      </c>
      <c r="G52" s="433"/>
      <c r="H52" s="433" t="e">
        <f>VLOOKUP($F$34,Ranglisten!$A$23:$AW$42,33,FALSE)</f>
        <v>#N/A</v>
      </c>
      <c r="I52" s="433"/>
      <c r="J52" s="23" t="e">
        <f>VLOOKUP($F$34,Ranglisten!$A$23:$AW$42,34,FALSE)</f>
        <v>#N/A</v>
      </c>
      <c r="K52" s="155"/>
      <c r="L52" s="156"/>
      <c r="M52" s="161"/>
      <c r="N52" s="143"/>
      <c r="O52" s="155"/>
      <c r="P52" s="156"/>
      <c r="Q52" s="159"/>
      <c r="R52" s="139"/>
      <c r="S52" s="44"/>
      <c r="T52" s="34"/>
      <c r="U52" s="30"/>
      <c r="V52" s="72" t="e">
        <f t="shared" si="36"/>
        <v>#N/A</v>
      </c>
      <c r="W52" s="140">
        <f t="shared" si="25"/>
        <v>0</v>
      </c>
      <c r="AE52" t="e">
        <f t="shared" si="37"/>
        <v>#N/A</v>
      </c>
      <c r="AF52" s="1">
        <f t="shared" si="38"/>
        <v>0</v>
      </c>
      <c r="AG52" t="str">
        <f t="shared" si="39"/>
        <v/>
      </c>
      <c r="AH52" t="str">
        <f t="shared" si="40"/>
        <v/>
      </c>
      <c r="AI52" s="1">
        <f t="shared" si="50"/>
        <v>0</v>
      </c>
      <c r="AJ52" s="140">
        <f t="shared" si="42"/>
        <v>0</v>
      </c>
      <c r="AK52" s="140">
        <f t="shared" si="43"/>
        <v>0</v>
      </c>
      <c r="AL52" s="140">
        <f t="shared" si="44"/>
        <v>0</v>
      </c>
      <c r="AM52" s="140">
        <f t="shared" si="45"/>
        <v>0</v>
      </c>
      <c r="AN52" s="140">
        <f t="shared" si="46"/>
        <v>0</v>
      </c>
      <c r="AO52" s="140">
        <f t="shared" si="47"/>
        <v>0</v>
      </c>
      <c r="AP52">
        <f t="shared" si="48"/>
        <v>0</v>
      </c>
      <c r="AQ52" s="140">
        <f t="shared" si="49"/>
        <v>0</v>
      </c>
    </row>
    <row r="53" spans="1:43" x14ac:dyDescent="0.25">
      <c r="A53" t="e">
        <f t="shared" si="34"/>
        <v>#N/A</v>
      </c>
      <c r="B53" s="1" t="e">
        <f t="shared" si="35"/>
        <v>#N/A</v>
      </c>
      <c r="C53" s="1"/>
      <c r="D53" s="5"/>
      <c r="E53" s="19" t="s">
        <v>41</v>
      </c>
      <c r="F53" s="432" t="e">
        <f>VLOOKUP($F$34,Ranglisten!$A$23:$AW$42,35,FALSE)</f>
        <v>#N/A</v>
      </c>
      <c r="G53" s="433"/>
      <c r="H53" s="433" t="e">
        <f>VLOOKUP($F$34,Ranglisten!$A$23:$AW$42,36,FALSE)</f>
        <v>#N/A</v>
      </c>
      <c r="I53" s="433"/>
      <c r="J53" s="23" t="e">
        <f>VLOOKUP($F$34,Ranglisten!$A$23:$AW$42,37,FALSE)</f>
        <v>#N/A</v>
      </c>
      <c r="K53" s="155"/>
      <c r="L53" s="156"/>
      <c r="M53" s="161"/>
      <c r="N53" s="143"/>
      <c r="O53" s="155"/>
      <c r="P53" s="156"/>
      <c r="Q53" s="159"/>
      <c r="R53" s="139"/>
      <c r="S53" s="44"/>
      <c r="T53" s="34"/>
      <c r="U53" s="30"/>
      <c r="V53" s="72" t="e">
        <f t="shared" si="36"/>
        <v>#N/A</v>
      </c>
      <c r="W53" s="140">
        <f t="shared" si="25"/>
        <v>0</v>
      </c>
      <c r="AE53" t="e">
        <f t="shared" si="37"/>
        <v>#N/A</v>
      </c>
      <c r="AF53" s="1">
        <f t="shared" si="38"/>
        <v>0</v>
      </c>
      <c r="AG53" t="str">
        <f t="shared" si="39"/>
        <v/>
      </c>
      <c r="AH53" t="str">
        <f t="shared" si="40"/>
        <v/>
      </c>
      <c r="AI53" s="1">
        <f t="shared" si="50"/>
        <v>0</v>
      </c>
      <c r="AJ53" s="140">
        <f t="shared" si="42"/>
        <v>0</v>
      </c>
      <c r="AK53" s="140">
        <f t="shared" si="43"/>
        <v>0</v>
      </c>
      <c r="AL53" s="140">
        <f t="shared" si="44"/>
        <v>0</v>
      </c>
      <c r="AM53" s="140">
        <f t="shared" si="45"/>
        <v>0</v>
      </c>
      <c r="AN53" s="140">
        <f t="shared" si="46"/>
        <v>0</v>
      </c>
      <c r="AO53" s="140">
        <f t="shared" si="47"/>
        <v>0</v>
      </c>
      <c r="AP53">
        <f t="shared" si="48"/>
        <v>0</v>
      </c>
      <c r="AQ53" s="140">
        <f t="shared" si="49"/>
        <v>0</v>
      </c>
    </row>
    <row r="54" spans="1:43" x14ac:dyDescent="0.25">
      <c r="A54" t="e">
        <f t="shared" si="34"/>
        <v>#N/A</v>
      </c>
      <c r="B54" s="1" t="e">
        <f t="shared" si="35"/>
        <v>#N/A</v>
      </c>
      <c r="C54" s="1"/>
      <c r="D54" s="5"/>
      <c r="E54" s="19" t="s">
        <v>42</v>
      </c>
      <c r="F54" s="433" t="e">
        <f>VLOOKUP($F$34,Ranglisten!$A$23:$AW$42,38,FALSE)</f>
        <v>#N/A</v>
      </c>
      <c r="G54" s="433"/>
      <c r="H54" s="433" t="e">
        <f>VLOOKUP($F$34,Ranglisten!$A$23:$AW$42,39,FALSE)</f>
        <v>#N/A</v>
      </c>
      <c r="I54" s="433"/>
      <c r="J54" s="23" t="e">
        <f>VLOOKUP($F$34,Ranglisten!$A$23:$AW$42,40,FALSE)</f>
        <v>#N/A</v>
      </c>
      <c r="K54" s="155"/>
      <c r="L54" s="156"/>
      <c r="M54" s="161"/>
      <c r="N54" s="143"/>
      <c r="O54" s="155"/>
      <c r="P54" s="156"/>
      <c r="Q54" s="159"/>
      <c r="R54" s="139"/>
      <c r="S54" s="44"/>
      <c r="T54" s="34"/>
      <c r="U54" s="30"/>
      <c r="V54" s="72" t="e">
        <f t="shared" si="36"/>
        <v>#N/A</v>
      </c>
      <c r="W54" s="140">
        <f t="shared" si="25"/>
        <v>0</v>
      </c>
      <c r="AE54" t="e">
        <f t="shared" si="37"/>
        <v>#N/A</v>
      </c>
      <c r="AF54" s="1">
        <f t="shared" si="38"/>
        <v>0</v>
      </c>
      <c r="AG54" t="str">
        <f t="shared" si="39"/>
        <v/>
      </c>
      <c r="AH54" t="str">
        <f t="shared" si="40"/>
        <v/>
      </c>
      <c r="AI54" s="1">
        <f t="shared" si="50"/>
        <v>0</v>
      </c>
      <c r="AJ54" s="140">
        <f t="shared" si="42"/>
        <v>0</v>
      </c>
      <c r="AK54" s="140">
        <f t="shared" si="43"/>
        <v>0</v>
      </c>
      <c r="AL54" s="140">
        <f t="shared" si="44"/>
        <v>0</v>
      </c>
      <c r="AM54" s="140">
        <f t="shared" si="45"/>
        <v>0</v>
      </c>
      <c r="AN54" s="140">
        <f t="shared" si="46"/>
        <v>0</v>
      </c>
      <c r="AO54" s="140">
        <f t="shared" si="47"/>
        <v>0</v>
      </c>
      <c r="AP54">
        <f t="shared" si="48"/>
        <v>0</v>
      </c>
      <c r="AQ54" s="140">
        <f t="shared" si="49"/>
        <v>0</v>
      </c>
    </row>
    <row r="55" spans="1:43" x14ac:dyDescent="0.25">
      <c r="A55" t="e">
        <f t="shared" si="34"/>
        <v>#N/A</v>
      </c>
      <c r="B55" s="1" t="e">
        <f t="shared" si="35"/>
        <v>#N/A</v>
      </c>
      <c r="C55" s="1"/>
      <c r="D55" s="5"/>
      <c r="E55" s="19" t="s">
        <v>43</v>
      </c>
      <c r="F55" s="432" t="e">
        <f>VLOOKUP($F$34,Ranglisten!$A$23:$AW$42,41,FALSE)</f>
        <v>#N/A</v>
      </c>
      <c r="G55" s="433"/>
      <c r="H55" s="433" t="e">
        <f>VLOOKUP($F$34,Ranglisten!$A$23:$AW$42,42,FALSE)</f>
        <v>#N/A</v>
      </c>
      <c r="I55" s="433"/>
      <c r="J55" s="23" t="e">
        <f>VLOOKUP($F$34,Ranglisten!$A$23:$AW$42,43,FALSE)</f>
        <v>#N/A</v>
      </c>
      <c r="K55" s="155"/>
      <c r="L55" s="156"/>
      <c r="M55" s="161"/>
      <c r="N55" s="143"/>
      <c r="O55" s="155"/>
      <c r="P55" s="156"/>
      <c r="Q55" s="159"/>
      <c r="R55" s="139"/>
      <c r="S55" s="44"/>
      <c r="T55" s="34"/>
      <c r="U55" s="30"/>
      <c r="V55" s="72" t="e">
        <f t="shared" si="36"/>
        <v>#N/A</v>
      </c>
      <c r="W55" s="140">
        <f t="shared" si="25"/>
        <v>0</v>
      </c>
      <c r="AE55" t="e">
        <f t="shared" si="37"/>
        <v>#N/A</v>
      </c>
      <c r="AF55" s="1">
        <f t="shared" si="38"/>
        <v>0</v>
      </c>
      <c r="AG55" t="str">
        <f t="shared" si="39"/>
        <v/>
      </c>
      <c r="AH55" t="str">
        <f t="shared" si="40"/>
        <v/>
      </c>
      <c r="AI55" s="1">
        <f t="shared" si="50"/>
        <v>0</v>
      </c>
      <c r="AJ55" s="140">
        <f t="shared" si="42"/>
        <v>0</v>
      </c>
      <c r="AK55" s="140">
        <f t="shared" si="43"/>
        <v>0</v>
      </c>
      <c r="AL55" s="140">
        <f t="shared" si="44"/>
        <v>0</v>
      </c>
      <c r="AM55" s="140">
        <f t="shared" si="45"/>
        <v>0</v>
      </c>
      <c r="AN55" s="140">
        <f t="shared" si="46"/>
        <v>0</v>
      </c>
      <c r="AO55" s="140">
        <f t="shared" si="47"/>
        <v>0</v>
      </c>
      <c r="AP55">
        <f t="shared" si="48"/>
        <v>0</v>
      </c>
      <c r="AQ55" s="140">
        <f t="shared" si="49"/>
        <v>0</v>
      </c>
    </row>
    <row r="56" spans="1:43" x14ac:dyDescent="0.25">
      <c r="A56" t="e">
        <f t="shared" si="34"/>
        <v>#N/A</v>
      </c>
      <c r="B56" s="1" t="e">
        <f t="shared" si="35"/>
        <v>#N/A</v>
      </c>
      <c r="C56" s="1"/>
      <c r="D56" s="5"/>
      <c r="E56" s="19" t="s">
        <v>44</v>
      </c>
      <c r="F56" s="432" t="e">
        <f>VLOOKUP($F$34,Ranglisten!$A$23:$AW$42,44,FALSE)</f>
        <v>#N/A</v>
      </c>
      <c r="G56" s="433"/>
      <c r="H56" s="433" t="e">
        <f>VLOOKUP($F$34,Ranglisten!$A$23:$AW$42,45,FALSE)</f>
        <v>#N/A</v>
      </c>
      <c r="I56" s="433"/>
      <c r="J56" s="23" t="e">
        <f>VLOOKUP($F$34,Ranglisten!$A$23:$AW$42,46,FALSE)</f>
        <v>#N/A</v>
      </c>
      <c r="K56" s="155"/>
      <c r="L56" s="156"/>
      <c r="M56" s="161"/>
      <c r="N56" s="143"/>
      <c r="O56" s="155"/>
      <c r="P56" s="156"/>
      <c r="Q56" s="159"/>
      <c r="R56" s="139"/>
      <c r="S56" s="44"/>
      <c r="T56" s="34"/>
      <c r="U56" s="30"/>
      <c r="V56" s="72" t="e">
        <f t="shared" si="36"/>
        <v>#N/A</v>
      </c>
      <c r="W56" s="140">
        <f t="shared" si="25"/>
        <v>0</v>
      </c>
      <c r="AE56" t="e">
        <f t="shared" si="37"/>
        <v>#N/A</v>
      </c>
      <c r="AF56" s="1">
        <f t="shared" si="38"/>
        <v>0</v>
      </c>
      <c r="AG56" t="str">
        <f t="shared" si="39"/>
        <v/>
      </c>
      <c r="AH56" t="str">
        <f t="shared" si="40"/>
        <v/>
      </c>
      <c r="AI56" s="1">
        <f t="shared" si="50"/>
        <v>0</v>
      </c>
      <c r="AJ56" s="140">
        <f t="shared" si="42"/>
        <v>0</v>
      </c>
      <c r="AK56" s="140">
        <f t="shared" si="43"/>
        <v>0</v>
      </c>
      <c r="AL56" s="140">
        <f t="shared" si="44"/>
        <v>0</v>
      </c>
      <c r="AM56" s="140">
        <f t="shared" si="45"/>
        <v>0</v>
      </c>
      <c r="AN56" s="140">
        <f t="shared" si="46"/>
        <v>0</v>
      </c>
      <c r="AO56" s="140">
        <f t="shared" si="47"/>
        <v>0</v>
      </c>
      <c r="AP56">
        <f t="shared" si="48"/>
        <v>0</v>
      </c>
      <c r="AQ56" s="140">
        <f t="shared" si="49"/>
        <v>0</v>
      </c>
    </row>
    <row r="57" spans="1:43" x14ac:dyDescent="0.25">
      <c r="A57" t="e">
        <f>H57 &amp; " " &amp; F57</f>
        <v>#N/A</v>
      </c>
      <c r="B57" s="1" t="e">
        <f t="shared" si="35"/>
        <v>#N/A</v>
      </c>
      <c r="C57" s="1"/>
      <c r="D57" s="5"/>
      <c r="E57" s="19" t="s">
        <v>46</v>
      </c>
      <c r="F57" s="432" t="e">
        <f>VLOOKUP($F$34,Ranglisten!$A$23:$AW$42,47,FALSE)</f>
        <v>#N/A</v>
      </c>
      <c r="G57" s="433"/>
      <c r="H57" s="433" t="e">
        <f>VLOOKUP($F$34,Ranglisten!$A$23:$AW$42,48,FALSE)</f>
        <v>#N/A</v>
      </c>
      <c r="I57" s="433"/>
      <c r="J57" s="23" t="e">
        <f>VLOOKUP($F$34,Ranglisten!$A$23:$AW$42,49,FALSE)</f>
        <v>#N/A</v>
      </c>
      <c r="K57" s="155"/>
      <c r="L57" s="156"/>
      <c r="M57" s="161"/>
      <c r="N57" s="143"/>
      <c r="O57" s="155"/>
      <c r="P57" s="156"/>
      <c r="Q57" s="159"/>
      <c r="R57" s="139"/>
      <c r="S57" s="44"/>
      <c r="T57" s="34"/>
      <c r="U57" s="30"/>
      <c r="V57" s="72" t="e">
        <f t="shared" si="36"/>
        <v>#N/A</v>
      </c>
      <c r="W57" s="140">
        <f t="shared" si="25"/>
        <v>0</v>
      </c>
      <c r="AE57" t="e">
        <f t="shared" si="37"/>
        <v>#N/A</v>
      </c>
      <c r="AF57" s="1">
        <f t="shared" si="38"/>
        <v>0</v>
      </c>
      <c r="AG57" t="str">
        <f t="shared" si="39"/>
        <v/>
      </c>
      <c r="AH57" t="str">
        <f t="shared" si="40"/>
        <v/>
      </c>
      <c r="AI57" s="1">
        <f t="shared" si="50"/>
        <v>0</v>
      </c>
      <c r="AJ57" s="140">
        <f t="shared" si="42"/>
        <v>0</v>
      </c>
      <c r="AK57" s="140">
        <f t="shared" si="43"/>
        <v>0</v>
      </c>
      <c r="AL57" s="140">
        <f t="shared" si="44"/>
        <v>0</v>
      </c>
      <c r="AM57" s="140">
        <f t="shared" si="45"/>
        <v>0</v>
      </c>
      <c r="AN57" s="140">
        <f t="shared" si="46"/>
        <v>0</v>
      </c>
      <c r="AO57" s="140">
        <f t="shared" si="47"/>
        <v>0</v>
      </c>
      <c r="AP57">
        <f t="shared" si="48"/>
        <v>0</v>
      </c>
      <c r="AQ57" s="140">
        <f t="shared" si="49"/>
        <v>0</v>
      </c>
    </row>
    <row r="58" spans="1:43" x14ac:dyDescent="0.25">
      <c r="A58" t="str">
        <f t="shared" si="34"/>
        <v xml:space="preserve"> </v>
      </c>
      <c r="B58" s="1">
        <f t="shared" si="35"/>
        <v>0</v>
      </c>
      <c r="C58" s="1"/>
      <c r="D58" s="5"/>
      <c r="E58" s="19" t="s">
        <v>45</v>
      </c>
      <c r="F58" s="449"/>
      <c r="G58" s="450"/>
      <c r="H58" s="450"/>
      <c r="I58" s="450"/>
      <c r="J58" s="50"/>
      <c r="K58" s="155"/>
      <c r="L58" s="156"/>
      <c r="M58" s="161"/>
      <c r="N58" s="143"/>
      <c r="O58" s="155"/>
      <c r="P58" s="156"/>
      <c r="Q58" s="159"/>
      <c r="R58" s="139"/>
      <c r="S58" s="44"/>
      <c r="T58" s="34"/>
      <c r="U58" s="30"/>
      <c r="V58" s="72" t="str">
        <f t="shared" si="36"/>
        <v xml:space="preserve"> </v>
      </c>
      <c r="W58" s="140">
        <f t="shared" si="25"/>
        <v>0</v>
      </c>
      <c r="AE58" t="str">
        <f t="shared" si="37"/>
        <v xml:space="preserve"> </v>
      </c>
      <c r="AF58" s="1">
        <f t="shared" si="38"/>
        <v>0</v>
      </c>
      <c r="AG58" t="str">
        <f t="shared" si="39"/>
        <v/>
      </c>
      <c r="AH58" t="str">
        <f t="shared" si="40"/>
        <v/>
      </c>
      <c r="AI58" s="1">
        <f t="shared" si="50"/>
        <v>0</v>
      </c>
      <c r="AJ58" s="140">
        <f t="shared" si="42"/>
        <v>0</v>
      </c>
      <c r="AK58" s="140">
        <f t="shared" si="43"/>
        <v>0</v>
      </c>
      <c r="AL58" s="140">
        <f t="shared" si="44"/>
        <v>0</v>
      </c>
      <c r="AM58" s="140">
        <f t="shared" si="45"/>
        <v>0</v>
      </c>
      <c r="AN58" s="140">
        <f t="shared" si="46"/>
        <v>0</v>
      </c>
      <c r="AO58" s="140">
        <f t="shared" si="47"/>
        <v>0</v>
      </c>
      <c r="AP58">
        <f t="shared" si="48"/>
        <v>0</v>
      </c>
      <c r="AQ58" s="140">
        <f t="shared" si="49"/>
        <v>0</v>
      </c>
    </row>
    <row r="59" spans="1:43" x14ac:dyDescent="0.25">
      <c r="A59" t="str">
        <f t="shared" si="34"/>
        <v xml:space="preserve"> </v>
      </c>
      <c r="B59" s="1">
        <f t="shared" si="35"/>
        <v>0</v>
      </c>
      <c r="C59" s="1"/>
      <c r="D59" s="5"/>
      <c r="E59" s="19" t="s">
        <v>45</v>
      </c>
      <c r="F59" s="449"/>
      <c r="G59" s="450"/>
      <c r="H59" s="450"/>
      <c r="I59" s="450"/>
      <c r="J59" s="50"/>
      <c r="K59" s="155"/>
      <c r="L59" s="156"/>
      <c r="M59" s="161"/>
      <c r="N59" s="143"/>
      <c r="O59" s="155"/>
      <c r="P59" s="156"/>
      <c r="Q59" s="159"/>
      <c r="R59" s="139"/>
      <c r="S59" s="44"/>
      <c r="T59" s="34"/>
      <c r="U59" s="30"/>
      <c r="V59" s="72" t="str">
        <f t="shared" si="36"/>
        <v xml:space="preserve"> </v>
      </c>
      <c r="W59" s="140">
        <f t="shared" si="25"/>
        <v>0</v>
      </c>
      <c r="AE59" t="str">
        <f t="shared" si="37"/>
        <v xml:space="preserve"> </v>
      </c>
      <c r="AF59" s="1">
        <f t="shared" si="38"/>
        <v>0</v>
      </c>
      <c r="AG59" t="str">
        <f t="shared" si="39"/>
        <v/>
      </c>
      <c r="AH59" t="str">
        <f t="shared" si="40"/>
        <v/>
      </c>
      <c r="AI59" s="1">
        <f t="shared" si="50"/>
        <v>0</v>
      </c>
      <c r="AJ59" s="140">
        <f t="shared" si="42"/>
        <v>0</v>
      </c>
      <c r="AK59" s="140">
        <f t="shared" si="43"/>
        <v>0</v>
      </c>
      <c r="AL59" s="140">
        <f t="shared" si="44"/>
        <v>0</v>
      </c>
      <c r="AM59" s="140">
        <f t="shared" si="45"/>
        <v>0</v>
      </c>
      <c r="AN59" s="140">
        <f t="shared" si="46"/>
        <v>0</v>
      </c>
      <c r="AO59" s="140">
        <f t="shared" si="47"/>
        <v>0</v>
      </c>
      <c r="AP59">
        <f t="shared" si="48"/>
        <v>0</v>
      </c>
      <c r="AQ59" s="140">
        <f t="shared" si="49"/>
        <v>0</v>
      </c>
    </row>
    <row r="60" spans="1:43" x14ac:dyDescent="0.25">
      <c r="A60" t="str">
        <f t="shared" si="34"/>
        <v xml:space="preserve"> </v>
      </c>
      <c r="B60" s="1">
        <f t="shared" si="35"/>
        <v>0</v>
      </c>
      <c r="C60" s="1"/>
      <c r="D60" s="5"/>
      <c r="E60" s="19" t="s">
        <v>45</v>
      </c>
      <c r="F60" s="449"/>
      <c r="G60" s="450"/>
      <c r="H60" s="450"/>
      <c r="I60" s="450"/>
      <c r="J60" s="50"/>
      <c r="K60" s="155"/>
      <c r="L60" s="156"/>
      <c r="M60" s="161"/>
      <c r="N60" s="143"/>
      <c r="O60" s="155"/>
      <c r="P60" s="156"/>
      <c r="Q60" s="159"/>
      <c r="R60" s="139"/>
      <c r="S60" s="44"/>
      <c r="T60" s="34"/>
      <c r="U60" s="30"/>
      <c r="V60" s="72" t="str">
        <f t="shared" si="36"/>
        <v xml:space="preserve"> </v>
      </c>
      <c r="W60" s="140">
        <f t="shared" si="25"/>
        <v>0</v>
      </c>
      <c r="AE60" t="str">
        <f t="shared" si="37"/>
        <v xml:space="preserve"> </v>
      </c>
      <c r="AF60" s="1">
        <f t="shared" si="38"/>
        <v>0</v>
      </c>
      <c r="AG60" t="str">
        <f t="shared" si="39"/>
        <v/>
      </c>
      <c r="AH60" t="str">
        <f t="shared" si="40"/>
        <v/>
      </c>
      <c r="AI60" s="1">
        <f t="shared" si="50"/>
        <v>0</v>
      </c>
      <c r="AJ60" s="140">
        <f t="shared" si="42"/>
        <v>0</v>
      </c>
      <c r="AK60" s="140">
        <f t="shared" si="43"/>
        <v>0</v>
      </c>
      <c r="AL60" s="140">
        <f t="shared" si="44"/>
        <v>0</v>
      </c>
      <c r="AM60" s="140">
        <f t="shared" si="45"/>
        <v>0</v>
      </c>
      <c r="AN60" s="140">
        <f t="shared" si="46"/>
        <v>0</v>
      </c>
      <c r="AO60" s="140">
        <f t="shared" si="47"/>
        <v>0</v>
      </c>
      <c r="AP60">
        <f t="shared" si="48"/>
        <v>0</v>
      </c>
      <c r="AQ60" s="140">
        <f t="shared" si="49"/>
        <v>0</v>
      </c>
    </row>
    <row r="61" spans="1:43" ht="15.75" thickBot="1" x14ac:dyDescent="0.3">
      <c r="A61" t="str">
        <f t="shared" si="34"/>
        <v xml:space="preserve"> </v>
      </c>
      <c r="B61" s="1">
        <f t="shared" si="35"/>
        <v>0</v>
      </c>
      <c r="C61" s="1"/>
      <c r="D61" s="5"/>
      <c r="E61" s="22" t="s">
        <v>45</v>
      </c>
      <c r="F61" s="451"/>
      <c r="G61" s="452"/>
      <c r="H61" s="452"/>
      <c r="I61" s="452"/>
      <c r="J61" s="51"/>
      <c r="K61" s="157"/>
      <c r="L61" s="158"/>
      <c r="M61" s="162"/>
      <c r="N61" s="144"/>
      <c r="O61" s="157"/>
      <c r="P61" s="158"/>
      <c r="Q61" s="160"/>
      <c r="R61" s="47"/>
      <c r="S61" s="45"/>
      <c r="T61" s="35"/>
      <c r="U61" s="32"/>
      <c r="V61" s="72" t="str">
        <f t="shared" si="36"/>
        <v xml:space="preserve"> </v>
      </c>
      <c r="W61" s="140">
        <f t="shared" si="25"/>
        <v>0</v>
      </c>
      <c r="AD61" t="str">
        <f t="shared" ref="AD61" si="51">IF(J61=0,A61,"")</f>
        <v xml:space="preserve"> </v>
      </c>
      <c r="AE61" t="str">
        <f t="shared" si="37"/>
        <v xml:space="preserve"> </v>
      </c>
      <c r="AF61" s="1">
        <f t="shared" si="38"/>
        <v>0</v>
      </c>
      <c r="AG61" t="str">
        <f t="shared" si="39"/>
        <v/>
      </c>
      <c r="AH61" t="str">
        <f t="shared" si="40"/>
        <v/>
      </c>
      <c r="AI61" s="1">
        <f t="shared" si="50"/>
        <v>0</v>
      </c>
      <c r="AJ61" s="140">
        <f t="shared" si="42"/>
        <v>0</v>
      </c>
      <c r="AK61" s="140">
        <f t="shared" si="43"/>
        <v>0</v>
      </c>
      <c r="AL61" s="140">
        <f t="shared" si="44"/>
        <v>0</v>
      </c>
      <c r="AM61" s="140">
        <f t="shared" si="45"/>
        <v>0</v>
      </c>
      <c r="AN61" s="140">
        <f t="shared" si="46"/>
        <v>0</v>
      </c>
      <c r="AO61" s="140">
        <f t="shared" si="47"/>
        <v>0</v>
      </c>
      <c r="AP61">
        <f t="shared" si="48"/>
        <v>0</v>
      </c>
      <c r="AQ61" s="140">
        <f t="shared" si="49"/>
        <v>0</v>
      </c>
    </row>
    <row r="62" spans="1:43" ht="15.75" thickBot="1" x14ac:dyDescent="0.3">
      <c r="D62" s="5"/>
      <c r="E62" s="445" t="s">
        <v>60</v>
      </c>
      <c r="F62" s="446"/>
      <c r="G62" s="446"/>
      <c r="H62" s="446"/>
      <c r="I62" s="446"/>
      <c r="J62" s="446"/>
      <c r="K62" s="447"/>
      <c r="L62" s="447"/>
      <c r="M62" s="447"/>
      <c r="N62" s="447"/>
      <c r="O62" s="447"/>
      <c r="P62" s="447"/>
      <c r="Q62" s="447"/>
      <c r="R62" s="447"/>
      <c r="S62" s="447"/>
      <c r="T62" s="447"/>
      <c r="U62" s="448"/>
      <c r="V62" s="72"/>
    </row>
    <row r="63" spans="1:43" x14ac:dyDescent="0.25">
      <c r="A63" t="str">
        <f t="shared" ref="A63:A66" si="52">H63 &amp; " " &amp; F63</f>
        <v>Welp Welpi</v>
      </c>
      <c r="B63" s="1" t="e">
        <f>VLOOKUP(A63,$A$38:$B$61,2,FALSE)</f>
        <v>#N/A</v>
      </c>
      <c r="C63" s="5" t="str">
        <f>IF(F64=0,""," / ")</f>
        <v/>
      </c>
      <c r="E63" s="25" t="s">
        <v>47</v>
      </c>
      <c r="F63" s="442" t="s">
        <v>778</v>
      </c>
      <c r="G63" s="443"/>
      <c r="H63" s="444" t="s">
        <v>779</v>
      </c>
      <c r="I63" s="443"/>
      <c r="J63" s="26" t="e">
        <f>IF(B63=1,"##",0)</f>
        <v>#N/A</v>
      </c>
      <c r="K63" s="145"/>
      <c r="L63" s="147"/>
      <c r="M63" s="148"/>
      <c r="N63" s="147"/>
      <c r="O63" s="148"/>
      <c r="P63" s="147"/>
      <c r="Q63" s="36"/>
      <c r="R63" s="36"/>
      <c r="S63" s="36"/>
      <c r="T63" s="36"/>
      <c r="U63" s="37"/>
      <c r="V63" s="72" t="str">
        <f t="shared" si="36"/>
        <v>Welp Welpi</v>
      </c>
    </row>
    <row r="64" spans="1:43" x14ac:dyDescent="0.25">
      <c r="A64" t="str">
        <f t="shared" si="52"/>
        <v xml:space="preserve"> </v>
      </c>
      <c r="B64" s="1">
        <f>VLOOKUP(A64,A38:B61,2,FALSE)</f>
        <v>0</v>
      </c>
      <c r="C64" s="5" t="str">
        <f>IF(F65=0,""," / ")</f>
        <v/>
      </c>
      <c r="E64" s="19" t="s">
        <v>48</v>
      </c>
      <c r="F64" s="434"/>
      <c r="G64" s="435"/>
      <c r="H64" s="436"/>
      <c r="I64" s="435"/>
      <c r="J64" s="23">
        <f t="shared" ref="J64:J66" si="53">IF(B64=1,"##",0)</f>
        <v>0</v>
      </c>
      <c r="K64" s="141"/>
      <c r="L64" s="34"/>
      <c r="M64" s="149"/>
      <c r="N64" s="34"/>
      <c r="O64" s="149"/>
      <c r="P64" s="34"/>
      <c r="Q64" s="38"/>
      <c r="R64" s="38"/>
      <c r="S64" s="38"/>
      <c r="T64" s="38"/>
      <c r="U64" s="30"/>
      <c r="V64" s="72" t="str">
        <f t="shared" si="36"/>
        <v xml:space="preserve"> </v>
      </c>
    </row>
    <row r="65" spans="1:22" x14ac:dyDescent="0.25">
      <c r="A65" t="str">
        <f t="shared" si="52"/>
        <v xml:space="preserve"> </v>
      </c>
      <c r="B65" s="1">
        <f>VLOOKUP(A65,A38:B61,2,FALSE)</f>
        <v>0</v>
      </c>
      <c r="C65" s="5" t="str">
        <f>IF(F66=0,""," / ")</f>
        <v/>
      </c>
      <c r="E65" s="19" t="s">
        <v>49</v>
      </c>
      <c r="F65" s="434"/>
      <c r="G65" s="435"/>
      <c r="H65" s="436"/>
      <c r="I65" s="435"/>
      <c r="J65" s="23">
        <f t="shared" si="53"/>
        <v>0</v>
      </c>
      <c r="K65" s="141"/>
      <c r="L65" s="34"/>
      <c r="M65" s="149"/>
      <c r="N65" s="34"/>
      <c r="O65" s="149"/>
      <c r="P65" s="34"/>
      <c r="Q65" s="38"/>
      <c r="R65" s="38"/>
      <c r="S65" s="38"/>
      <c r="T65" s="38"/>
      <c r="U65" s="30"/>
      <c r="V65" s="72" t="str">
        <f t="shared" si="36"/>
        <v xml:space="preserve"> </v>
      </c>
    </row>
    <row r="66" spans="1:22" ht="15.75" thickBot="1" x14ac:dyDescent="0.3">
      <c r="A66" t="str">
        <f t="shared" si="52"/>
        <v xml:space="preserve"> </v>
      </c>
      <c r="B66" s="1">
        <f>VLOOKUP(A66,A38:B61,2,FALSE)</f>
        <v>0</v>
      </c>
      <c r="C66" s="1"/>
      <c r="D66" s="5"/>
      <c r="E66" s="20" t="s">
        <v>50</v>
      </c>
      <c r="F66" s="439"/>
      <c r="G66" s="440"/>
      <c r="H66" s="441"/>
      <c r="I66" s="440"/>
      <c r="J66" s="24">
        <f t="shared" si="53"/>
        <v>0</v>
      </c>
      <c r="K66" s="142"/>
      <c r="L66" s="35"/>
      <c r="M66" s="150"/>
      <c r="N66" s="35"/>
      <c r="O66" s="150"/>
      <c r="P66" s="35"/>
      <c r="Q66" s="39"/>
      <c r="R66" s="39"/>
      <c r="S66" s="39"/>
      <c r="T66" s="39"/>
      <c r="U66" s="32"/>
      <c r="V66" s="72" t="str">
        <f t="shared" si="36"/>
        <v xml:space="preserve"> </v>
      </c>
    </row>
  </sheetData>
  <sheetProtection sheet="1" objects="1" scenarios="1" selectLockedCells="1"/>
  <mergeCells count="135">
    <mergeCell ref="F66:G66"/>
    <mergeCell ref="H66:I66"/>
    <mergeCell ref="AB38:AC38"/>
    <mergeCell ref="E62:U62"/>
    <mergeCell ref="F63:G63"/>
    <mergeCell ref="H63:I63"/>
    <mergeCell ref="F64:G64"/>
    <mergeCell ref="H64:I64"/>
    <mergeCell ref="F65:G65"/>
    <mergeCell ref="H65:I65"/>
    <mergeCell ref="F59:G59"/>
    <mergeCell ref="H59:I59"/>
    <mergeCell ref="F60:G60"/>
    <mergeCell ref="H60:I60"/>
    <mergeCell ref="F61:G61"/>
    <mergeCell ref="H61:I61"/>
    <mergeCell ref="F56:G56"/>
    <mergeCell ref="H56:I56"/>
    <mergeCell ref="F57:G57"/>
    <mergeCell ref="H57:I57"/>
    <mergeCell ref="F58:G58"/>
    <mergeCell ref="H58:I58"/>
    <mergeCell ref="F53:G53"/>
    <mergeCell ref="H53:I53"/>
    <mergeCell ref="F54:G54"/>
    <mergeCell ref="H54:I54"/>
    <mergeCell ref="F55:G55"/>
    <mergeCell ref="H55:I55"/>
    <mergeCell ref="F50:G50"/>
    <mergeCell ref="H50:I50"/>
    <mergeCell ref="F51:G51"/>
    <mergeCell ref="H51:I51"/>
    <mergeCell ref="F52:G52"/>
    <mergeCell ref="H52:I52"/>
    <mergeCell ref="F47:G47"/>
    <mergeCell ref="H47:I47"/>
    <mergeCell ref="F48:G48"/>
    <mergeCell ref="H48:I48"/>
    <mergeCell ref="F49:G49"/>
    <mergeCell ref="H49:I49"/>
    <mergeCell ref="F44:G44"/>
    <mergeCell ref="H44:I44"/>
    <mergeCell ref="F45:G45"/>
    <mergeCell ref="H45:I45"/>
    <mergeCell ref="F46:G46"/>
    <mergeCell ref="H46:I46"/>
    <mergeCell ref="F41:G41"/>
    <mergeCell ref="H41:I41"/>
    <mergeCell ref="F42:G42"/>
    <mergeCell ref="H42:I42"/>
    <mergeCell ref="F43:G43"/>
    <mergeCell ref="H43:I43"/>
    <mergeCell ref="F38:G38"/>
    <mergeCell ref="H38:I38"/>
    <mergeCell ref="F39:G39"/>
    <mergeCell ref="H39:I39"/>
    <mergeCell ref="F40:G40"/>
    <mergeCell ref="H40:I40"/>
    <mergeCell ref="T2:U2"/>
    <mergeCell ref="I35:N35"/>
    <mergeCell ref="P35:S35"/>
    <mergeCell ref="T35:U35"/>
    <mergeCell ref="F37:G37"/>
    <mergeCell ref="H37:I37"/>
    <mergeCell ref="F31:G31"/>
    <mergeCell ref="H31:I31"/>
    <mergeCell ref="F32:G32"/>
    <mergeCell ref="H32:I32"/>
    <mergeCell ref="F33:G33"/>
    <mergeCell ref="H33:I33"/>
    <mergeCell ref="F28:G28"/>
    <mergeCell ref="H28:I28"/>
    <mergeCell ref="F30:G30"/>
    <mergeCell ref="H30:I30"/>
    <mergeCell ref="E29:U29"/>
    <mergeCell ref="F25:G25"/>
    <mergeCell ref="H25:I25"/>
    <mergeCell ref="F26:G26"/>
    <mergeCell ref="H26:I26"/>
    <mergeCell ref="F27:G27"/>
    <mergeCell ref="H27:I27"/>
    <mergeCell ref="F22:G22"/>
    <mergeCell ref="F23:G23"/>
    <mergeCell ref="H23:I23"/>
    <mergeCell ref="F24:G24"/>
    <mergeCell ref="H24:I24"/>
    <mergeCell ref="F19:G19"/>
    <mergeCell ref="H19:I19"/>
    <mergeCell ref="F20:G20"/>
    <mergeCell ref="H20:I20"/>
    <mergeCell ref="F21:G21"/>
    <mergeCell ref="H21:I21"/>
    <mergeCell ref="F18:G18"/>
    <mergeCell ref="H18:I18"/>
    <mergeCell ref="F13:G13"/>
    <mergeCell ref="H13:I13"/>
    <mergeCell ref="F14:G14"/>
    <mergeCell ref="H14:I14"/>
    <mergeCell ref="F15:G15"/>
    <mergeCell ref="H15:I15"/>
    <mergeCell ref="H22:I22"/>
    <mergeCell ref="F7:G7"/>
    <mergeCell ref="H7:I7"/>
    <mergeCell ref="F8:G8"/>
    <mergeCell ref="H8:I8"/>
    <mergeCell ref="F9:G9"/>
    <mergeCell ref="H9:I9"/>
    <mergeCell ref="F16:G16"/>
    <mergeCell ref="H16:I16"/>
    <mergeCell ref="F17:G17"/>
    <mergeCell ref="H17:I17"/>
    <mergeCell ref="K4:L4"/>
    <mergeCell ref="M4:N4"/>
    <mergeCell ref="K37:L37"/>
    <mergeCell ref="M37:N37"/>
    <mergeCell ref="O37:P37"/>
    <mergeCell ref="O4:P4"/>
    <mergeCell ref="P2:S2"/>
    <mergeCell ref="F34:H35"/>
    <mergeCell ref="D35:E35"/>
    <mergeCell ref="F4:G4"/>
    <mergeCell ref="H4:I4"/>
    <mergeCell ref="F5:G5"/>
    <mergeCell ref="H5:I5"/>
    <mergeCell ref="F6:G6"/>
    <mergeCell ref="H6:I6"/>
    <mergeCell ref="D2:E2"/>
    <mergeCell ref="F1:H2"/>
    <mergeCell ref="I2:N2"/>
    <mergeCell ref="F10:G10"/>
    <mergeCell ref="H10:I10"/>
    <mergeCell ref="F11:G11"/>
    <mergeCell ref="H11:I11"/>
    <mergeCell ref="F12:G12"/>
    <mergeCell ref="H12:I12"/>
  </mergeCells>
  <conditionalFormatting sqref="J5:J28">
    <cfRule type="cellIs" dxfId="79" priority="32" operator="equal">
      <formula>0</formula>
    </cfRule>
  </conditionalFormatting>
  <conditionalFormatting sqref="J38:J57">
    <cfRule type="cellIs" dxfId="78" priority="31" operator="equal">
      <formula>0</formula>
    </cfRule>
  </conditionalFormatting>
  <conditionalFormatting sqref="J30:J33">
    <cfRule type="cellIs" dxfId="77" priority="30" operator="equal">
      <formula>0</formula>
    </cfRule>
  </conditionalFormatting>
  <conditionalFormatting sqref="J63:J66">
    <cfRule type="cellIs" dxfId="76" priority="29" operator="equal">
      <formula>0</formula>
    </cfRule>
  </conditionalFormatting>
  <conditionalFormatting sqref="F63:I63">
    <cfRule type="expression" dxfId="75" priority="24">
      <formula>$J$63="##"</formula>
    </cfRule>
  </conditionalFormatting>
  <conditionalFormatting sqref="F64:I64">
    <cfRule type="expression" dxfId="74" priority="23">
      <formula>$J$64="##"</formula>
    </cfRule>
  </conditionalFormatting>
  <conditionalFormatting sqref="F65:I65">
    <cfRule type="expression" dxfId="73" priority="22">
      <formula>$J$65="##"</formula>
    </cfRule>
  </conditionalFormatting>
  <conditionalFormatting sqref="F66:I66">
    <cfRule type="expression" dxfId="72" priority="21">
      <formula>$J$66="##"</formula>
    </cfRule>
  </conditionalFormatting>
  <conditionalFormatting sqref="W5:W28 W38:W61">
    <cfRule type="cellIs" dxfId="71" priority="18" operator="greaterThan">
      <formula>2</formula>
    </cfRule>
    <cfRule type="cellIs" dxfId="70" priority="19" operator="between">
      <formula>0</formula>
      <formula>2</formula>
    </cfRule>
    <cfRule type="cellIs" dxfId="69" priority="20" operator="equal">
      <formula>-1</formula>
    </cfRule>
  </conditionalFormatting>
  <conditionalFormatting sqref="K3:P3 K36:P36">
    <cfRule type="cellIs" dxfId="68" priority="15" operator="equal">
      <formula>1</formula>
    </cfRule>
    <cfRule type="cellIs" dxfId="67" priority="16" operator="equal">
      <formula>0</formula>
    </cfRule>
    <cfRule type="cellIs" dxfId="66" priority="17" operator="equal">
      <formula>-1</formula>
    </cfRule>
  </conditionalFormatting>
  <conditionalFormatting sqref="K3:P3 K36:P36">
    <cfRule type="cellIs" dxfId="65" priority="14" operator="greaterThan">
      <formula>2</formula>
    </cfRule>
  </conditionalFormatting>
  <conditionalFormatting sqref="Q3:R3 T3:V3 Q36:R36 T36:V36">
    <cfRule type="cellIs" dxfId="64" priority="13" operator="equal">
      <formula>-1</formula>
    </cfRule>
  </conditionalFormatting>
  <conditionalFormatting sqref="Q3:R3 T3:V3 Q36:R36 T36:V36">
    <cfRule type="cellIs" dxfId="63" priority="12" operator="equal">
      <formula>0</formula>
    </cfRule>
  </conditionalFormatting>
  <conditionalFormatting sqref="Q3:R3 T3:V3 Q36:R36 T36:V36">
    <cfRule type="cellIs" dxfId="62" priority="11" operator="equal">
      <formula>1</formula>
    </cfRule>
  </conditionalFormatting>
  <conditionalFormatting sqref="Q3:R3 T3:V3 Q36:R36 T36:V36">
    <cfRule type="cellIs" dxfId="61" priority="10" operator="greaterThan">
      <formula>1</formula>
    </cfRule>
  </conditionalFormatting>
  <conditionalFormatting sqref="S3 S36">
    <cfRule type="cellIs" dxfId="60" priority="6" operator="greaterThan">
      <formula>2</formula>
    </cfRule>
    <cfRule type="cellIs" dxfId="59" priority="7" operator="equal">
      <formula>2</formula>
    </cfRule>
    <cfRule type="cellIs" dxfId="58" priority="8" operator="between">
      <formula>0</formula>
      <formula>1</formula>
    </cfRule>
    <cfRule type="cellIs" dxfId="57" priority="9" operator="equal">
      <formula>-1</formula>
    </cfRule>
  </conditionalFormatting>
  <conditionalFormatting sqref="F30:I30">
    <cfRule type="expression" dxfId="56" priority="5">
      <formula>$J$63="##"</formula>
    </cfRule>
  </conditionalFormatting>
  <conditionalFormatting sqref="F31:I31">
    <cfRule type="expression" dxfId="55" priority="4">
      <formula>$J$64="##"</formula>
    </cfRule>
  </conditionalFormatting>
  <conditionalFormatting sqref="F32:I32">
    <cfRule type="expression" dxfId="54" priority="3">
      <formula>$J$65="##"</formula>
    </cfRule>
  </conditionalFormatting>
  <conditionalFormatting sqref="F33:I33">
    <cfRule type="expression" dxfId="53" priority="2">
      <formula>$J$66="##"</formula>
    </cfRule>
  </conditionalFormatting>
  <conditionalFormatting sqref="F17:I24 F5:I12 F38:I45 F50:I57">
    <cfRule type="cellIs" dxfId="52" priority="1" operator="equal">
      <formula>0</formula>
    </cfRule>
  </conditionalFormatting>
  <pageMargins left="0.25" right="0.25" top="0.75" bottom="0.75" header="0.3" footer="0.3"/>
  <pageSetup paperSize="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AufstellungDrucken" altText="Aufstellungszettel Drucken">
                <anchor moveWithCells="1" sizeWithCells="1">
                  <from>
                    <xdr:col>24</xdr:col>
                    <xdr:colOff>114300</xdr:colOff>
                    <xdr:row>2</xdr:row>
                    <xdr:rowOff>85725</xdr:rowOff>
                  </from>
                  <to>
                    <xdr:col>26</xdr:col>
                    <xdr:colOff>628650</xdr:colOff>
                    <xdr:row>4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7"/>
  <dimension ref="A1:EA44"/>
  <sheetViews>
    <sheetView zoomScaleNormal="100" workbookViewId="0">
      <selection activeCell="BA9" sqref="BA9:BL9"/>
    </sheetView>
  </sheetViews>
  <sheetFormatPr baseColWidth="10" defaultRowHeight="15" x14ac:dyDescent="0.25"/>
  <cols>
    <col min="1" max="104" width="1.42578125" customWidth="1"/>
    <col min="106" max="106" width="9.42578125" hidden="1" customWidth="1"/>
    <col min="107" max="120" width="11.42578125" hidden="1" customWidth="1"/>
    <col min="121" max="121" width="11.42578125" customWidth="1"/>
  </cols>
  <sheetData>
    <row r="1" spans="1:131" x14ac:dyDescent="0.25">
      <c r="A1" s="438" t="s">
        <v>275</v>
      </c>
      <c r="B1" s="438"/>
      <c r="C1" s="438"/>
      <c r="D1" s="438"/>
      <c r="E1" s="438"/>
      <c r="G1" s="382" t="str">
        <f>Grundeinstellungen!G5 &amp; " " &amp; Grundeinstellungen!K5</f>
        <v xml:space="preserve">Regionalliga Süd/Ost </v>
      </c>
      <c r="H1" s="382"/>
      <c r="I1" s="382"/>
      <c r="J1" s="382"/>
      <c r="K1" s="382"/>
      <c r="L1" s="382"/>
      <c r="M1" s="382"/>
      <c r="N1" s="382"/>
      <c r="O1" s="382"/>
      <c r="P1" s="382"/>
      <c r="Q1" s="382"/>
      <c r="R1" s="382"/>
      <c r="S1" s="382"/>
      <c r="T1" s="382"/>
      <c r="U1" s="382"/>
      <c r="V1" s="382"/>
      <c r="W1" s="382"/>
      <c r="X1" s="382"/>
      <c r="Y1" s="382"/>
      <c r="Z1" s="382"/>
      <c r="AA1" s="382"/>
      <c r="AB1" s="382"/>
      <c r="AE1" s="438" t="s">
        <v>279</v>
      </c>
      <c r="AF1" s="438"/>
      <c r="AG1" s="438"/>
      <c r="AH1" s="438"/>
      <c r="AI1" s="438"/>
      <c r="AJ1" s="438"/>
      <c r="AL1" s="208" t="str">
        <f>Grundeinstellungen!I11</f>
        <v/>
      </c>
      <c r="AM1" s="208"/>
      <c r="AN1" s="208"/>
      <c r="AO1" s="208"/>
      <c r="AP1" s="208"/>
      <c r="AQ1" s="208"/>
      <c r="AR1" s="208"/>
      <c r="AS1" s="208"/>
      <c r="AT1" s="208"/>
      <c r="AU1" s="208"/>
      <c r="AV1" s="208"/>
      <c r="AW1" s="208"/>
      <c r="AX1" s="208"/>
      <c r="AY1" s="208"/>
      <c r="AZ1" s="208"/>
      <c r="BA1" s="208"/>
      <c r="BB1" s="208"/>
      <c r="BC1" s="208"/>
      <c r="BD1" s="208"/>
      <c r="BE1" s="208"/>
      <c r="BF1" s="208"/>
      <c r="BJ1" s="438" t="s">
        <v>280</v>
      </c>
      <c r="BK1" s="438"/>
      <c r="BL1" s="438"/>
      <c r="BM1" s="438"/>
      <c r="BN1" s="438"/>
      <c r="BO1" s="438"/>
      <c r="BP1" s="438"/>
      <c r="BQ1" s="438"/>
      <c r="BR1" s="438"/>
      <c r="BS1" s="438"/>
      <c r="BT1" s="438"/>
      <c r="BV1" s="382" t="str">
        <f>Grundeinstellungen!D26</f>
        <v xml:space="preserve">- </v>
      </c>
      <c r="BW1" s="382"/>
      <c r="BX1" s="382"/>
      <c r="BY1" s="382"/>
      <c r="BZ1" s="382"/>
      <c r="CA1" s="382"/>
      <c r="CB1" s="382"/>
      <c r="CC1" s="382"/>
      <c r="CD1" s="382"/>
      <c r="CE1" s="382"/>
      <c r="CF1" s="382"/>
      <c r="CG1" s="382"/>
      <c r="CH1" s="382"/>
      <c r="CI1" s="382"/>
      <c r="CJ1" s="382"/>
      <c r="CL1" s="208"/>
      <c r="CM1" s="208"/>
      <c r="CN1" s="208"/>
      <c r="CO1" s="208"/>
      <c r="CP1" s="208"/>
      <c r="CQ1" s="208"/>
      <c r="CR1" s="208"/>
      <c r="CS1" s="208"/>
      <c r="CT1" s="208"/>
      <c r="CU1" s="208"/>
      <c r="CV1" s="208"/>
      <c r="DX1">
        <f>IF(CR28="",0,CR28+CU28)</f>
        <v>0</v>
      </c>
      <c r="DY1" t="s">
        <v>329</v>
      </c>
    </row>
    <row r="2" spans="1:131" x14ac:dyDescent="0.25">
      <c r="A2" s="438" t="s">
        <v>33</v>
      </c>
      <c r="B2" s="438"/>
      <c r="C2" s="438"/>
      <c r="D2" s="438"/>
      <c r="E2" s="438"/>
      <c r="G2" s="468">
        <f ca="1">Grundeinstellungen!D5</f>
        <v>42418</v>
      </c>
      <c r="H2" s="468"/>
      <c r="I2" s="468"/>
      <c r="J2" s="468"/>
      <c r="K2" s="468"/>
      <c r="L2" s="468"/>
      <c r="M2" s="468"/>
      <c r="O2" s="378" t="s">
        <v>276</v>
      </c>
      <c r="P2" s="378"/>
      <c r="Q2" s="378"/>
      <c r="R2" s="378"/>
      <c r="T2" s="469">
        <f>Grundeinstellungen!D11</f>
        <v>0</v>
      </c>
      <c r="U2" s="463"/>
      <c r="V2" s="463"/>
      <c r="W2" s="463"/>
      <c r="X2" s="463"/>
      <c r="Y2" s="463"/>
      <c r="Z2" s="463"/>
      <c r="AA2" s="463"/>
      <c r="AB2" s="463"/>
      <c r="AE2" s="208" t="s">
        <v>287</v>
      </c>
      <c r="AF2" s="208"/>
      <c r="AG2" s="208"/>
      <c r="AH2" s="208"/>
      <c r="AI2" s="208"/>
      <c r="AJ2" s="208"/>
      <c r="AL2" s="470" t="str">
        <f>Grundeinstellungen!D8</f>
        <v>2015/16</v>
      </c>
      <c r="AM2" s="382"/>
      <c r="AN2" s="382"/>
      <c r="AO2" s="382"/>
      <c r="AP2" s="382"/>
      <c r="AQ2" s="382"/>
      <c r="AR2" s="382"/>
      <c r="AS2" s="382"/>
      <c r="AT2" s="382"/>
      <c r="AU2" s="382"/>
      <c r="AV2" s="382"/>
      <c r="AW2" s="382"/>
      <c r="AX2" s="382"/>
      <c r="AY2" s="382"/>
      <c r="AZ2" s="382"/>
      <c r="BA2" s="382"/>
      <c r="BB2" s="382"/>
      <c r="BC2" s="382"/>
      <c r="BD2" s="382"/>
      <c r="BE2" s="382"/>
      <c r="BF2" s="382"/>
      <c r="BJ2" s="438" t="s">
        <v>281</v>
      </c>
      <c r="BK2" s="438"/>
      <c r="BL2" s="438"/>
      <c r="BM2" s="438"/>
      <c r="BN2" s="438"/>
      <c r="BO2" s="438"/>
      <c r="BP2" s="438"/>
      <c r="BQ2" s="438"/>
      <c r="BR2" s="438"/>
      <c r="BS2" s="438"/>
      <c r="BT2" s="438"/>
      <c r="BV2" s="382">
        <f>Grundeinstellungen!D20</f>
        <v>0</v>
      </c>
      <c r="BW2" s="382"/>
      <c r="BX2" s="382"/>
      <c r="BY2" s="382"/>
      <c r="BZ2" s="382"/>
      <c r="CA2" s="382"/>
      <c r="CB2" s="382"/>
      <c r="CC2" s="382"/>
      <c r="CD2" s="382"/>
      <c r="CE2" s="382"/>
      <c r="CF2" s="382"/>
      <c r="CG2" s="382"/>
      <c r="CH2" s="382"/>
      <c r="CI2" s="382"/>
      <c r="CJ2" s="382"/>
      <c r="CL2" s="208"/>
      <c r="CM2" s="208"/>
      <c r="CN2" s="208"/>
      <c r="CO2" s="208"/>
      <c r="CP2" s="208"/>
      <c r="CQ2" s="208"/>
      <c r="CR2" s="208"/>
      <c r="CS2" s="208"/>
      <c r="CT2" s="208"/>
      <c r="CU2" s="208"/>
      <c r="CV2" s="208"/>
      <c r="DR2" t="s">
        <v>308</v>
      </c>
      <c r="DY2" s="381">
        <v>0</v>
      </c>
      <c r="DZ2" s="381"/>
      <c r="EA2" s="381"/>
    </row>
    <row r="3" spans="1:131" ht="15" customHeight="1" x14ac:dyDescent="0.25">
      <c r="A3" s="438" t="s">
        <v>277</v>
      </c>
      <c r="B3" s="438"/>
      <c r="C3" s="438"/>
      <c r="D3" s="438"/>
      <c r="E3" s="438"/>
      <c r="G3" s="466">
        <f>Grundeinstellungen!D14</f>
        <v>0</v>
      </c>
      <c r="H3" s="466"/>
      <c r="I3" s="466"/>
      <c r="J3" s="466"/>
      <c r="K3" s="466"/>
      <c r="L3" s="466"/>
      <c r="M3" s="466"/>
      <c r="N3" s="466"/>
      <c r="O3" s="466"/>
      <c r="P3" s="466"/>
      <c r="Q3" s="466"/>
      <c r="R3" s="466"/>
      <c r="S3" s="466"/>
      <c r="T3" s="466"/>
      <c r="U3" s="466"/>
      <c r="V3" s="466"/>
      <c r="W3" s="466"/>
      <c r="X3" s="466"/>
      <c r="Y3" s="466"/>
      <c r="Z3" s="466"/>
      <c r="AA3" s="466"/>
      <c r="AB3" s="466"/>
      <c r="AC3" s="87"/>
      <c r="AD3" s="87"/>
      <c r="AE3" s="104"/>
      <c r="AF3" s="104"/>
      <c r="AG3" s="104"/>
      <c r="AH3" s="104"/>
      <c r="AI3" s="104"/>
      <c r="AJ3" s="104"/>
      <c r="AK3" s="104"/>
      <c r="AL3" s="104"/>
      <c r="AM3" s="104"/>
      <c r="AN3" s="104"/>
      <c r="AO3" s="104"/>
      <c r="AP3" s="104"/>
      <c r="AQ3" s="104"/>
      <c r="AR3" s="104"/>
      <c r="AS3" s="104"/>
      <c r="AT3" s="104"/>
      <c r="AU3" s="104"/>
      <c r="AV3" s="104"/>
      <c r="AW3" s="104"/>
      <c r="AX3" s="104"/>
      <c r="AY3" s="104"/>
      <c r="AZ3" s="104"/>
      <c r="BA3" s="104"/>
      <c r="BB3" s="104"/>
      <c r="BC3" s="104"/>
      <c r="BD3" s="104"/>
      <c r="BE3" s="104"/>
      <c r="BF3" s="104"/>
      <c r="BG3" s="104"/>
      <c r="BH3" s="104"/>
      <c r="BI3" s="87"/>
      <c r="BJ3" s="465" t="s">
        <v>282</v>
      </c>
      <c r="BK3" s="465"/>
      <c r="BL3" s="465"/>
      <c r="BM3" s="465"/>
      <c r="BN3" s="465"/>
      <c r="BO3" s="465"/>
      <c r="BP3" s="465"/>
      <c r="BQ3" s="465"/>
      <c r="BR3" s="465"/>
      <c r="BS3" s="465"/>
      <c r="BT3" s="465"/>
      <c r="BU3" s="87"/>
      <c r="BV3" s="466">
        <f>Grundeinstellungen!D23</f>
        <v>0</v>
      </c>
      <c r="BW3" s="466"/>
      <c r="BX3" s="466"/>
      <c r="BY3" s="466"/>
      <c r="BZ3" s="466"/>
      <c r="CA3" s="466"/>
      <c r="CB3" s="466"/>
      <c r="CC3" s="466"/>
      <c r="CD3" s="466"/>
      <c r="CE3" s="466"/>
      <c r="CF3" s="466"/>
      <c r="CG3" s="466"/>
      <c r="CH3" s="466"/>
      <c r="CI3" s="466"/>
      <c r="CJ3" s="466"/>
      <c r="CL3" s="208"/>
      <c r="CM3" s="208"/>
      <c r="CN3" s="208"/>
      <c r="CO3" s="208"/>
      <c r="CP3" s="208"/>
      <c r="CQ3" s="208"/>
      <c r="CR3" s="208"/>
      <c r="CS3" s="208"/>
      <c r="CT3" s="208"/>
      <c r="CU3" s="208"/>
      <c r="CV3" s="208"/>
      <c r="DB3" t="s">
        <v>135</v>
      </c>
      <c r="DR3" t="s">
        <v>309</v>
      </c>
    </row>
    <row r="4" spans="1:131" ht="15" customHeight="1" x14ac:dyDescent="0.25">
      <c r="A4" s="438" t="s">
        <v>278</v>
      </c>
      <c r="B4" s="438"/>
      <c r="C4" s="438"/>
      <c r="D4" s="438"/>
      <c r="E4" s="438"/>
      <c r="G4" s="466">
        <f>Grundeinstellungen!D17</f>
        <v>0</v>
      </c>
      <c r="H4" s="466"/>
      <c r="I4" s="466"/>
      <c r="J4" s="466"/>
      <c r="K4" s="466"/>
      <c r="L4" s="466"/>
      <c r="M4" s="466"/>
      <c r="N4" s="466"/>
      <c r="O4" s="466"/>
      <c r="P4" s="466"/>
      <c r="Q4" s="466"/>
      <c r="R4" s="466"/>
      <c r="S4" s="466"/>
      <c r="T4" s="466"/>
      <c r="U4" s="466"/>
      <c r="V4" s="466"/>
      <c r="W4" s="466"/>
      <c r="X4" s="466"/>
      <c r="Y4" s="466"/>
      <c r="Z4" s="466"/>
      <c r="AA4" s="466"/>
      <c r="AB4" s="466"/>
      <c r="AC4" s="87"/>
      <c r="AD4" s="87"/>
      <c r="AE4" s="471" t="s">
        <v>721</v>
      </c>
      <c r="AF4" s="471"/>
      <c r="AG4" s="471"/>
      <c r="AH4" s="471"/>
      <c r="AI4" s="471"/>
      <c r="AJ4" s="471"/>
      <c r="AK4" s="471"/>
      <c r="AL4" s="471"/>
      <c r="AM4" s="471"/>
      <c r="AN4" s="471"/>
      <c r="AO4" s="471"/>
      <c r="AP4" s="471"/>
      <c r="AQ4" s="471"/>
      <c r="AR4" s="471"/>
      <c r="AS4" s="471"/>
      <c r="AT4" s="471"/>
      <c r="AU4" s="471"/>
      <c r="AV4" s="472"/>
      <c r="AW4" s="473"/>
      <c r="AX4" s="473"/>
      <c r="AY4" s="473"/>
      <c r="AZ4" s="473"/>
      <c r="BA4" s="473"/>
      <c r="BB4" s="473"/>
      <c r="BC4" s="473"/>
      <c r="BD4" s="473"/>
      <c r="BE4" s="104"/>
      <c r="BF4" s="104"/>
      <c r="BG4" s="104"/>
      <c r="BH4" s="104"/>
      <c r="BI4" s="87"/>
      <c r="BJ4" s="465" t="s">
        <v>283</v>
      </c>
      <c r="BK4" s="465"/>
      <c r="BL4" s="465"/>
      <c r="BM4" s="465"/>
      <c r="BN4" s="465"/>
      <c r="BO4" s="465"/>
      <c r="BP4" s="465"/>
      <c r="BQ4" s="465"/>
      <c r="BR4" s="465"/>
      <c r="BS4" s="465"/>
      <c r="BT4" s="465"/>
      <c r="BU4" s="87"/>
      <c r="BV4" s="467" t="e">
        <f>Mindestanforderungen!K26</f>
        <v>#N/A</v>
      </c>
      <c r="BW4" s="467"/>
      <c r="BX4" s="467"/>
      <c r="BY4" s="467"/>
      <c r="BZ4" s="467"/>
      <c r="CA4" s="467"/>
      <c r="CB4" s="467"/>
      <c r="CC4" s="467"/>
      <c r="CD4" s="467"/>
      <c r="CE4" s="467"/>
      <c r="CF4" s="467"/>
      <c r="CG4" s="467"/>
      <c r="CH4" s="467"/>
      <c r="CI4" s="467"/>
      <c r="CJ4" s="467"/>
      <c r="CL4" s="208"/>
      <c r="CM4" s="208"/>
      <c r="CN4" s="208"/>
      <c r="CO4" s="208"/>
      <c r="CP4" s="208"/>
      <c r="CQ4" s="208"/>
      <c r="CR4" s="208"/>
      <c r="CS4" s="208"/>
      <c r="CT4" s="208"/>
      <c r="CU4" s="208"/>
      <c r="CV4" s="208"/>
      <c r="DB4" s="208" t="s">
        <v>300</v>
      </c>
      <c r="DC4" s="208"/>
      <c r="DD4" s="208"/>
      <c r="DE4" s="208"/>
      <c r="DM4">
        <f>IF(AV4=0,0,1)</f>
        <v>0</v>
      </c>
      <c r="DN4">
        <v>1</v>
      </c>
      <c r="DR4" t="s">
        <v>310</v>
      </c>
    </row>
    <row r="5" spans="1:131" s="58" customFormat="1" ht="11.25" x14ac:dyDescent="0.2"/>
    <row r="6" spans="1:131" x14ac:dyDescent="0.25">
      <c r="A6" s="182" t="s">
        <v>290</v>
      </c>
      <c r="B6" s="182"/>
      <c r="C6" s="182"/>
      <c r="D6" s="182" t="s">
        <v>291</v>
      </c>
      <c r="E6" s="182"/>
      <c r="F6" s="182"/>
      <c r="G6" s="182"/>
      <c r="H6" s="182"/>
      <c r="I6" s="182"/>
      <c r="K6" s="462" t="s">
        <v>292</v>
      </c>
      <c r="L6" s="463"/>
      <c r="M6" s="463"/>
      <c r="N6" s="463"/>
      <c r="O6" s="463"/>
      <c r="P6" s="463">
        <f>G3</f>
        <v>0</v>
      </c>
      <c r="Q6" s="463"/>
      <c r="R6" s="463"/>
      <c r="S6" s="463"/>
      <c r="T6" s="463"/>
      <c r="U6" s="463"/>
      <c r="V6" s="463"/>
      <c r="W6" s="463"/>
      <c r="X6" s="463"/>
      <c r="Y6" s="463"/>
      <c r="Z6" s="463"/>
      <c r="AA6" s="463"/>
      <c r="AB6" s="463"/>
      <c r="AC6" s="463"/>
      <c r="AD6" s="463"/>
      <c r="AE6" s="463"/>
      <c r="AF6" s="463"/>
      <c r="AG6" s="463"/>
      <c r="AH6" s="463"/>
      <c r="AI6" s="464"/>
      <c r="AJ6" s="9"/>
      <c r="AK6" s="9"/>
      <c r="AL6" s="9"/>
      <c r="AM6" s="9"/>
      <c r="AN6" s="462" t="s">
        <v>292</v>
      </c>
      <c r="AO6" s="463"/>
      <c r="AP6" s="463"/>
      <c r="AQ6" s="463"/>
      <c r="AR6" s="463"/>
      <c r="AS6" s="463">
        <f>G4</f>
        <v>0</v>
      </c>
      <c r="AT6" s="463"/>
      <c r="AU6" s="463"/>
      <c r="AV6" s="463"/>
      <c r="AW6" s="463"/>
      <c r="AX6" s="463"/>
      <c r="AY6" s="463"/>
      <c r="AZ6" s="463"/>
      <c r="BA6" s="463"/>
      <c r="BB6" s="463"/>
      <c r="BC6" s="463"/>
      <c r="BD6" s="463"/>
      <c r="BE6" s="463"/>
      <c r="BF6" s="463"/>
      <c r="BG6" s="463"/>
      <c r="BH6" s="463"/>
      <c r="BI6" s="463"/>
      <c r="BJ6" s="463"/>
      <c r="BK6" s="463"/>
      <c r="BL6" s="464"/>
      <c r="BN6" s="462" t="s">
        <v>296</v>
      </c>
      <c r="BO6" s="463"/>
      <c r="BP6" s="463"/>
      <c r="BQ6" s="463"/>
      <c r="BR6" s="464"/>
      <c r="BT6" s="462" t="s">
        <v>297</v>
      </c>
      <c r="BU6" s="463"/>
      <c r="BV6" s="463"/>
      <c r="BW6" s="463"/>
      <c r="BX6" s="464"/>
      <c r="BZ6" s="462" t="s">
        <v>298</v>
      </c>
      <c r="CA6" s="463"/>
      <c r="CB6" s="463"/>
      <c r="CC6" s="463"/>
      <c r="CD6" s="464"/>
      <c r="CE6" s="9"/>
      <c r="CF6" s="462" t="s">
        <v>294</v>
      </c>
      <c r="CG6" s="463"/>
      <c r="CH6" s="463"/>
      <c r="CI6" s="463"/>
      <c r="CJ6" s="464"/>
      <c r="CL6" s="462" t="s">
        <v>295</v>
      </c>
      <c r="CM6" s="463"/>
      <c r="CN6" s="463"/>
      <c r="CO6" s="463"/>
      <c r="CP6" s="464"/>
      <c r="CR6" s="462" t="s">
        <v>293</v>
      </c>
      <c r="CS6" s="463"/>
      <c r="CT6" s="463"/>
      <c r="CU6" s="463"/>
      <c r="CV6" s="464"/>
      <c r="DC6" t="s">
        <v>4</v>
      </c>
      <c r="DD6" t="s">
        <v>5</v>
      </c>
    </row>
    <row r="7" spans="1:131" ht="7.5" customHeight="1" x14ac:dyDescent="0.25"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9"/>
      <c r="W7" s="9"/>
      <c r="X7" s="9"/>
      <c r="Y7" s="9"/>
      <c r="Z7" s="9"/>
      <c r="AA7" s="9"/>
      <c r="AB7" s="9"/>
      <c r="AC7" s="9"/>
      <c r="AD7" s="9"/>
      <c r="AE7" s="9"/>
      <c r="AF7" s="9"/>
      <c r="AG7" s="9"/>
      <c r="AH7" s="9"/>
      <c r="AI7" s="9"/>
    </row>
    <row r="8" spans="1:131" x14ac:dyDescent="0.25">
      <c r="A8" s="491"/>
      <c r="B8" s="491"/>
      <c r="C8" s="491"/>
      <c r="D8" s="433" t="s">
        <v>299</v>
      </c>
      <c r="E8" s="433"/>
      <c r="F8" s="433"/>
      <c r="G8" s="433"/>
      <c r="H8" s="433"/>
      <c r="I8" s="433"/>
      <c r="K8" s="492" t="e">
        <f>VLOOKUP("x",Mannschaftsaufstellung!K5:V16,12,FALSE)</f>
        <v>#N/A</v>
      </c>
      <c r="L8" s="493"/>
      <c r="M8" s="493"/>
      <c r="N8" s="493"/>
      <c r="O8" s="493"/>
      <c r="P8" s="493"/>
      <c r="Q8" s="493"/>
      <c r="R8" s="493"/>
      <c r="S8" s="493"/>
      <c r="T8" s="493"/>
      <c r="U8" s="493"/>
      <c r="V8" s="493"/>
      <c r="W8" s="493"/>
      <c r="X8" s="494"/>
      <c r="Y8" s="494"/>
      <c r="Z8" s="494"/>
      <c r="AA8" s="494"/>
      <c r="AB8" s="494"/>
      <c r="AC8" s="494"/>
      <c r="AD8" s="494"/>
      <c r="AE8" s="494"/>
      <c r="AF8" s="494"/>
      <c r="AG8" s="494"/>
      <c r="AH8" s="494"/>
      <c r="AI8" s="495"/>
      <c r="AJ8" s="81"/>
      <c r="AK8" s="496" t="s">
        <v>201</v>
      </c>
      <c r="AL8" s="496"/>
      <c r="AM8" s="81"/>
      <c r="AN8" s="492" t="e">
        <f>VLOOKUP("x",Mannschaftsaufstellung!K38:V49,12,FALSE)</f>
        <v>#N/A</v>
      </c>
      <c r="AO8" s="493"/>
      <c r="AP8" s="493"/>
      <c r="AQ8" s="493"/>
      <c r="AR8" s="493"/>
      <c r="AS8" s="493"/>
      <c r="AT8" s="493"/>
      <c r="AU8" s="493"/>
      <c r="AV8" s="493"/>
      <c r="AW8" s="493"/>
      <c r="AX8" s="493"/>
      <c r="AY8" s="493"/>
      <c r="AZ8" s="493"/>
      <c r="BA8" s="494"/>
      <c r="BB8" s="494"/>
      <c r="BC8" s="494"/>
      <c r="BD8" s="494"/>
      <c r="BE8" s="494"/>
      <c r="BF8" s="494"/>
      <c r="BG8" s="494"/>
      <c r="BH8" s="494"/>
      <c r="BI8" s="494"/>
      <c r="BJ8" s="494"/>
      <c r="BK8" s="494"/>
      <c r="BL8" s="495"/>
      <c r="BN8" s="479"/>
      <c r="BO8" s="480"/>
      <c r="BP8" s="475" t="s">
        <v>301</v>
      </c>
      <c r="BQ8" s="480"/>
      <c r="BR8" s="483"/>
      <c r="BS8" s="85"/>
      <c r="BT8" s="479"/>
      <c r="BU8" s="480"/>
      <c r="BV8" s="475" t="s">
        <v>301</v>
      </c>
      <c r="BW8" s="480"/>
      <c r="BX8" s="483"/>
      <c r="BY8" s="85"/>
      <c r="BZ8" s="479"/>
      <c r="CA8" s="480"/>
      <c r="CB8" s="475" t="s">
        <v>301</v>
      </c>
      <c r="CC8" s="480"/>
      <c r="CD8" s="483"/>
      <c r="CE8" s="85"/>
      <c r="CF8" s="474">
        <f>BZ8+BT8+BN8</f>
        <v>0</v>
      </c>
      <c r="CG8" s="475"/>
      <c r="CH8" s="475" t="s">
        <v>301</v>
      </c>
      <c r="CI8" s="475">
        <f>CC8+BW8+BQ8</f>
        <v>0</v>
      </c>
      <c r="CJ8" s="477"/>
      <c r="CK8" s="85"/>
      <c r="CL8" s="474">
        <f>DE8+DG8+DI8</f>
        <v>0</v>
      </c>
      <c r="CM8" s="475"/>
      <c r="CN8" s="475" t="s">
        <v>301</v>
      </c>
      <c r="CO8" s="475">
        <f>DF8+DH8+DJ8</f>
        <v>0</v>
      </c>
      <c r="CP8" s="477"/>
      <c r="CQ8" s="85"/>
      <c r="CR8" s="474">
        <f>IF(CL8=2,1,0)</f>
        <v>0</v>
      </c>
      <c r="CS8" s="475"/>
      <c r="CT8" s="475" t="s">
        <v>301</v>
      </c>
      <c r="CU8" s="475">
        <f>IF(CO8=2,1,0)</f>
        <v>0</v>
      </c>
      <c r="CV8" s="477"/>
      <c r="CX8" s="485" t="str">
        <f>IF(DK8&gt;1,0,"!")</f>
        <v>!</v>
      </c>
      <c r="CY8" s="486"/>
      <c r="CZ8" s="487"/>
      <c r="DB8" s="1">
        <f>IF(A8&gt;0,1,0)</f>
        <v>0</v>
      </c>
      <c r="DC8" s="1">
        <f>IF(X8&gt;0,1,0)</f>
        <v>0</v>
      </c>
      <c r="DD8" s="1">
        <f>IF(BA8&gt;0,1,0)</f>
        <v>0</v>
      </c>
      <c r="DE8" s="1">
        <f>IF(BN8&gt;BQ8,1,0)</f>
        <v>0</v>
      </c>
      <c r="DF8" s="1">
        <f>IF(BQ8&gt;BN8,1,0)</f>
        <v>0</v>
      </c>
      <c r="DG8" s="1">
        <f>IF(BT8&gt;BW8,1,0)</f>
        <v>0</v>
      </c>
      <c r="DH8" s="1">
        <f>IF(BW8&gt;BT8,1,0)</f>
        <v>0</v>
      </c>
      <c r="DI8" s="1">
        <f>IF(BZ8&gt;CC8,1,0)</f>
        <v>0</v>
      </c>
      <c r="DJ8" s="1">
        <f>IF(CC8&gt;BZ8,1,0)</f>
        <v>0</v>
      </c>
      <c r="DK8" s="1">
        <f>IF(A8=0,0,DJ8+DI8+DH8+DG8+DF8+DE8)</f>
        <v>0</v>
      </c>
      <c r="DL8">
        <f>DE8+DF8+DG8+DH8+DI8+DJ8</f>
        <v>0</v>
      </c>
      <c r="DM8">
        <f>IF(CX8=0,1,0)</f>
        <v>0</v>
      </c>
      <c r="DN8">
        <v>1</v>
      </c>
      <c r="DP8">
        <f>CF8+CI8</f>
        <v>0</v>
      </c>
    </row>
    <row r="9" spans="1:131" x14ac:dyDescent="0.25">
      <c r="A9" s="491"/>
      <c r="B9" s="491"/>
      <c r="C9" s="491"/>
      <c r="D9" s="433"/>
      <c r="E9" s="433"/>
      <c r="F9" s="433"/>
      <c r="G9" s="433"/>
      <c r="H9" s="433"/>
      <c r="I9" s="433"/>
      <c r="K9" s="497" t="e">
        <f>VLOOKUP("x",Mannschaftsaufstellung!L5:V16,11,TRUE)</f>
        <v>#N/A</v>
      </c>
      <c r="L9" s="498"/>
      <c r="M9" s="498"/>
      <c r="N9" s="498"/>
      <c r="O9" s="498"/>
      <c r="P9" s="498"/>
      <c r="Q9" s="498"/>
      <c r="R9" s="498"/>
      <c r="S9" s="498"/>
      <c r="T9" s="498"/>
      <c r="U9" s="498"/>
      <c r="V9" s="498"/>
      <c r="W9" s="498"/>
      <c r="X9" s="499"/>
      <c r="Y9" s="499"/>
      <c r="Z9" s="499"/>
      <c r="AA9" s="499"/>
      <c r="AB9" s="499"/>
      <c r="AC9" s="499"/>
      <c r="AD9" s="499"/>
      <c r="AE9" s="499"/>
      <c r="AF9" s="499"/>
      <c r="AG9" s="499"/>
      <c r="AH9" s="499"/>
      <c r="AI9" s="500"/>
      <c r="AJ9" s="81"/>
      <c r="AK9" s="496"/>
      <c r="AL9" s="496"/>
      <c r="AM9" s="81"/>
      <c r="AN9" s="497" t="e">
        <f>VLOOKUP("x",Mannschaftsaufstellung!L38:V49,11,TRUE)</f>
        <v>#N/A</v>
      </c>
      <c r="AO9" s="498"/>
      <c r="AP9" s="498"/>
      <c r="AQ9" s="498"/>
      <c r="AR9" s="498"/>
      <c r="AS9" s="498"/>
      <c r="AT9" s="498"/>
      <c r="AU9" s="498"/>
      <c r="AV9" s="498"/>
      <c r="AW9" s="498"/>
      <c r="AX9" s="498"/>
      <c r="AY9" s="498"/>
      <c r="AZ9" s="498"/>
      <c r="BA9" s="499"/>
      <c r="BB9" s="499"/>
      <c r="BC9" s="499"/>
      <c r="BD9" s="499"/>
      <c r="BE9" s="499"/>
      <c r="BF9" s="499"/>
      <c r="BG9" s="499"/>
      <c r="BH9" s="499"/>
      <c r="BI9" s="499"/>
      <c r="BJ9" s="499"/>
      <c r="BK9" s="499"/>
      <c r="BL9" s="500"/>
      <c r="BN9" s="481"/>
      <c r="BO9" s="482"/>
      <c r="BP9" s="467"/>
      <c r="BQ9" s="482"/>
      <c r="BR9" s="484"/>
      <c r="BS9" s="85"/>
      <c r="BT9" s="481"/>
      <c r="BU9" s="482"/>
      <c r="BV9" s="467"/>
      <c r="BW9" s="482"/>
      <c r="BX9" s="484"/>
      <c r="BY9" s="85"/>
      <c r="BZ9" s="481"/>
      <c r="CA9" s="482"/>
      <c r="CB9" s="467"/>
      <c r="CC9" s="482"/>
      <c r="CD9" s="484"/>
      <c r="CE9" s="85"/>
      <c r="CF9" s="476"/>
      <c r="CG9" s="467"/>
      <c r="CH9" s="467"/>
      <c r="CI9" s="467"/>
      <c r="CJ9" s="478"/>
      <c r="CK9" s="85"/>
      <c r="CL9" s="476"/>
      <c r="CM9" s="467"/>
      <c r="CN9" s="467"/>
      <c r="CO9" s="467"/>
      <c r="CP9" s="478"/>
      <c r="CQ9" s="85"/>
      <c r="CR9" s="476"/>
      <c r="CS9" s="467"/>
      <c r="CT9" s="467"/>
      <c r="CU9" s="467"/>
      <c r="CV9" s="478"/>
      <c r="CX9" s="488"/>
      <c r="CY9" s="489"/>
      <c r="CZ9" s="490"/>
      <c r="DC9" s="1">
        <f>IF(X9&gt;0,1,0)</f>
        <v>0</v>
      </c>
      <c r="DD9" s="1">
        <f>IF(BA9&gt;0,1,0)</f>
        <v>0</v>
      </c>
    </row>
    <row r="10" spans="1:131" s="58" customFormat="1" ht="7.5" customHeight="1" x14ac:dyDescent="0.2">
      <c r="A10" s="82"/>
      <c r="B10" s="82"/>
      <c r="C10" s="82"/>
      <c r="BN10" s="85"/>
      <c r="BO10" s="85"/>
      <c r="BP10" s="85"/>
      <c r="BQ10" s="85"/>
      <c r="BR10" s="85"/>
      <c r="BS10" s="85"/>
      <c r="BT10" s="85"/>
      <c r="BU10" s="85"/>
      <c r="BV10" s="85"/>
      <c r="BW10" s="85"/>
      <c r="BX10" s="85"/>
      <c r="BY10" s="85"/>
      <c r="BZ10" s="85"/>
      <c r="CA10" s="85"/>
      <c r="CB10" s="85"/>
      <c r="CC10" s="85"/>
      <c r="CD10" s="85"/>
      <c r="CE10" s="85"/>
      <c r="CF10" s="85"/>
      <c r="CG10" s="85"/>
      <c r="CH10" s="85"/>
      <c r="CI10" s="85"/>
      <c r="CJ10" s="85"/>
      <c r="CK10" s="85"/>
      <c r="CL10" s="85"/>
      <c r="CM10" s="85"/>
      <c r="CN10" s="85"/>
      <c r="CO10" s="85"/>
      <c r="CP10" s="85"/>
      <c r="CQ10" s="85"/>
      <c r="CR10" s="85"/>
      <c r="CS10" s="85"/>
      <c r="CT10" s="85"/>
      <c r="CU10" s="85"/>
      <c r="CV10" s="85"/>
    </row>
    <row r="11" spans="1:131" ht="15" customHeight="1" x14ac:dyDescent="0.25">
      <c r="A11" s="491"/>
      <c r="B11" s="491"/>
      <c r="C11" s="491"/>
      <c r="D11" s="433" t="s">
        <v>53</v>
      </c>
      <c r="E11" s="433"/>
      <c r="F11" s="433"/>
      <c r="G11" s="433"/>
      <c r="H11" s="433"/>
      <c r="I11" s="433"/>
      <c r="K11" s="492" t="e">
        <f>VLOOKUP("x",Mannschaftsaufstellung!M17:V28,10,FALSE)</f>
        <v>#N/A</v>
      </c>
      <c r="L11" s="493"/>
      <c r="M11" s="493"/>
      <c r="N11" s="493"/>
      <c r="O11" s="493"/>
      <c r="P11" s="493"/>
      <c r="Q11" s="493"/>
      <c r="R11" s="493"/>
      <c r="S11" s="493"/>
      <c r="T11" s="493"/>
      <c r="U11" s="493"/>
      <c r="V11" s="493"/>
      <c r="W11" s="493"/>
      <c r="X11" s="494"/>
      <c r="Y11" s="494"/>
      <c r="Z11" s="494"/>
      <c r="AA11" s="494"/>
      <c r="AB11" s="494"/>
      <c r="AC11" s="494"/>
      <c r="AD11" s="494"/>
      <c r="AE11" s="494"/>
      <c r="AF11" s="494"/>
      <c r="AG11" s="494"/>
      <c r="AH11" s="494"/>
      <c r="AI11" s="495"/>
      <c r="AJ11" s="81"/>
      <c r="AK11" s="496" t="s">
        <v>201</v>
      </c>
      <c r="AL11" s="496"/>
      <c r="AM11" s="81"/>
      <c r="AN11" s="492" t="e">
        <f>VLOOKUP("x",Mannschaftsaufstellung!M50:V61,10,FALSE)</f>
        <v>#N/A</v>
      </c>
      <c r="AO11" s="493"/>
      <c r="AP11" s="493"/>
      <c r="AQ11" s="493"/>
      <c r="AR11" s="493"/>
      <c r="AS11" s="493"/>
      <c r="AT11" s="493"/>
      <c r="AU11" s="493"/>
      <c r="AV11" s="493"/>
      <c r="AW11" s="493"/>
      <c r="AX11" s="493"/>
      <c r="AY11" s="493"/>
      <c r="AZ11" s="493"/>
      <c r="BA11" s="494"/>
      <c r="BB11" s="494"/>
      <c r="BC11" s="494"/>
      <c r="BD11" s="494"/>
      <c r="BE11" s="494"/>
      <c r="BF11" s="494"/>
      <c r="BG11" s="494"/>
      <c r="BH11" s="494"/>
      <c r="BI11" s="494"/>
      <c r="BJ11" s="494"/>
      <c r="BK11" s="494"/>
      <c r="BL11" s="495"/>
      <c r="BN11" s="479"/>
      <c r="BO11" s="480"/>
      <c r="BP11" s="475" t="s">
        <v>301</v>
      </c>
      <c r="BQ11" s="480"/>
      <c r="BR11" s="483"/>
      <c r="BS11" s="85"/>
      <c r="BT11" s="479"/>
      <c r="BU11" s="480"/>
      <c r="BV11" s="475" t="s">
        <v>301</v>
      </c>
      <c r="BW11" s="480"/>
      <c r="BX11" s="483"/>
      <c r="BY11" s="85"/>
      <c r="BZ11" s="479"/>
      <c r="CA11" s="480"/>
      <c r="CB11" s="475" t="s">
        <v>301</v>
      </c>
      <c r="CC11" s="480"/>
      <c r="CD11" s="483"/>
      <c r="CE11" s="85"/>
      <c r="CF11" s="474">
        <f>BZ11+BT11+BN11</f>
        <v>0</v>
      </c>
      <c r="CG11" s="475"/>
      <c r="CH11" s="475" t="s">
        <v>301</v>
      </c>
      <c r="CI11" s="475">
        <f>CC11+BW11+BQ11</f>
        <v>0</v>
      </c>
      <c r="CJ11" s="477"/>
      <c r="CK11" s="85"/>
      <c r="CL11" s="474">
        <f>DE11+DG11+DI11</f>
        <v>0</v>
      </c>
      <c r="CM11" s="475"/>
      <c r="CN11" s="475" t="s">
        <v>301</v>
      </c>
      <c r="CO11" s="475">
        <f>DF11+DH11+DJ11</f>
        <v>0</v>
      </c>
      <c r="CP11" s="477"/>
      <c r="CQ11" s="85"/>
      <c r="CR11" s="474">
        <f>IF(CL11=2,1,0)</f>
        <v>0</v>
      </c>
      <c r="CS11" s="475"/>
      <c r="CT11" s="475" t="s">
        <v>301</v>
      </c>
      <c r="CU11" s="475">
        <f>IF(CO11=2,1,0)</f>
        <v>0</v>
      </c>
      <c r="CV11" s="477"/>
      <c r="CX11" s="485" t="str">
        <f>IF(DK11&gt;1,0,"!")</f>
        <v>!</v>
      </c>
      <c r="CY11" s="486"/>
      <c r="CZ11" s="487"/>
      <c r="DB11" s="1">
        <f>IF(A11&gt;0,1,0)</f>
        <v>0</v>
      </c>
      <c r="DC11" s="1">
        <f>IF(X11&gt;0,1,0)</f>
        <v>0</v>
      </c>
      <c r="DD11" s="1">
        <f>IF(BA11&gt;0,1,0)</f>
        <v>0</v>
      </c>
      <c r="DE11" s="1">
        <f>IF(BN11&gt;BQ11,1,0)</f>
        <v>0</v>
      </c>
      <c r="DF11" s="1">
        <f>IF(BQ11&gt;BN11,1,0)</f>
        <v>0</v>
      </c>
      <c r="DG11" s="1">
        <f>IF(BT11&gt;BW11,1,0)</f>
        <v>0</v>
      </c>
      <c r="DH11" s="1">
        <f>IF(BW11&gt;BT11,1,0)</f>
        <v>0</v>
      </c>
      <c r="DI11" s="1">
        <f>IF(BZ11&gt;CC11,1,0)</f>
        <v>0</v>
      </c>
      <c r="DJ11" s="1">
        <f>IF(CC11&gt;BZ11,1,0)</f>
        <v>0</v>
      </c>
      <c r="DK11" s="1">
        <f>IF(A11=0,0,DJ11+DI11+DH11+DG11+DF11+DE11)</f>
        <v>0</v>
      </c>
      <c r="DL11">
        <f>DE11+DF11+DG11+DH11+DI11+DJ11</f>
        <v>0</v>
      </c>
      <c r="DM11">
        <f>IF(CX11=0,1,0)</f>
        <v>0</v>
      </c>
      <c r="DN11">
        <v>1</v>
      </c>
      <c r="DP11">
        <f>CF11+CI11</f>
        <v>0</v>
      </c>
    </row>
    <row r="12" spans="1:131" ht="15" customHeight="1" x14ac:dyDescent="0.25">
      <c r="A12" s="491"/>
      <c r="B12" s="491"/>
      <c r="C12" s="491"/>
      <c r="D12" s="433"/>
      <c r="E12" s="433"/>
      <c r="F12" s="433"/>
      <c r="G12" s="433"/>
      <c r="H12" s="433"/>
      <c r="I12" s="433"/>
      <c r="K12" s="497" t="e">
        <f>VLOOKUP("x",Mannschaftsaufstellung!N17:V28,9,TRUE)</f>
        <v>#N/A</v>
      </c>
      <c r="L12" s="498"/>
      <c r="M12" s="498"/>
      <c r="N12" s="498"/>
      <c r="O12" s="498"/>
      <c r="P12" s="498"/>
      <c r="Q12" s="498"/>
      <c r="R12" s="498"/>
      <c r="S12" s="498"/>
      <c r="T12" s="498"/>
      <c r="U12" s="498"/>
      <c r="V12" s="498"/>
      <c r="W12" s="498"/>
      <c r="X12" s="499"/>
      <c r="Y12" s="499"/>
      <c r="Z12" s="499"/>
      <c r="AA12" s="499"/>
      <c r="AB12" s="499"/>
      <c r="AC12" s="499"/>
      <c r="AD12" s="499"/>
      <c r="AE12" s="499"/>
      <c r="AF12" s="499"/>
      <c r="AG12" s="499"/>
      <c r="AH12" s="499"/>
      <c r="AI12" s="500"/>
      <c r="AJ12" s="81"/>
      <c r="AK12" s="496"/>
      <c r="AL12" s="496"/>
      <c r="AM12" s="81"/>
      <c r="AN12" s="497" t="e">
        <f>VLOOKUP("x",Mannschaftsaufstellung!N50:V61,9,TRUE)</f>
        <v>#N/A</v>
      </c>
      <c r="AO12" s="498"/>
      <c r="AP12" s="498"/>
      <c r="AQ12" s="498"/>
      <c r="AR12" s="498"/>
      <c r="AS12" s="498"/>
      <c r="AT12" s="498"/>
      <c r="AU12" s="498"/>
      <c r="AV12" s="498"/>
      <c r="AW12" s="498"/>
      <c r="AX12" s="498"/>
      <c r="AY12" s="498"/>
      <c r="AZ12" s="498"/>
      <c r="BA12" s="499"/>
      <c r="BB12" s="499"/>
      <c r="BC12" s="499"/>
      <c r="BD12" s="499"/>
      <c r="BE12" s="499"/>
      <c r="BF12" s="499"/>
      <c r="BG12" s="499"/>
      <c r="BH12" s="499"/>
      <c r="BI12" s="499"/>
      <c r="BJ12" s="499"/>
      <c r="BK12" s="499"/>
      <c r="BL12" s="500"/>
      <c r="BN12" s="481"/>
      <c r="BO12" s="482"/>
      <c r="BP12" s="467"/>
      <c r="BQ12" s="482"/>
      <c r="BR12" s="484"/>
      <c r="BS12" s="85"/>
      <c r="BT12" s="481"/>
      <c r="BU12" s="482"/>
      <c r="BV12" s="467"/>
      <c r="BW12" s="482"/>
      <c r="BX12" s="484"/>
      <c r="BY12" s="85"/>
      <c r="BZ12" s="481"/>
      <c r="CA12" s="482"/>
      <c r="CB12" s="467"/>
      <c r="CC12" s="482"/>
      <c r="CD12" s="484"/>
      <c r="CE12" s="85"/>
      <c r="CF12" s="476"/>
      <c r="CG12" s="467"/>
      <c r="CH12" s="467"/>
      <c r="CI12" s="467"/>
      <c r="CJ12" s="478"/>
      <c r="CK12" s="85"/>
      <c r="CL12" s="476"/>
      <c r="CM12" s="467"/>
      <c r="CN12" s="467"/>
      <c r="CO12" s="467"/>
      <c r="CP12" s="478"/>
      <c r="CQ12" s="85"/>
      <c r="CR12" s="476"/>
      <c r="CS12" s="467"/>
      <c r="CT12" s="467"/>
      <c r="CU12" s="467"/>
      <c r="CV12" s="478"/>
      <c r="CX12" s="488"/>
      <c r="CY12" s="489"/>
      <c r="CZ12" s="490"/>
      <c r="DC12" s="1">
        <f>IF(X12&gt;0,1,0)</f>
        <v>0</v>
      </c>
      <c r="DD12" s="1">
        <f>IF(BA12&gt;0,1,0)</f>
        <v>0</v>
      </c>
      <c r="DR12" t="s">
        <v>330</v>
      </c>
    </row>
    <row r="13" spans="1:131" ht="7.5" customHeight="1" x14ac:dyDescent="0.25">
      <c r="BN13" s="85"/>
      <c r="BO13" s="85"/>
      <c r="BP13" s="85"/>
      <c r="BQ13" s="85"/>
      <c r="BR13" s="85"/>
      <c r="BS13" s="85"/>
      <c r="BT13" s="85"/>
      <c r="BU13" s="85"/>
      <c r="BV13" s="85"/>
      <c r="BW13" s="85"/>
      <c r="BX13" s="85"/>
      <c r="BY13" s="85"/>
      <c r="BZ13" s="85"/>
      <c r="CA13" s="85"/>
      <c r="CB13" s="85"/>
      <c r="CC13" s="85"/>
      <c r="CD13" s="85"/>
      <c r="CE13" s="85"/>
      <c r="CF13" s="85"/>
      <c r="CG13" s="85"/>
      <c r="CH13" s="85"/>
      <c r="CI13" s="85"/>
      <c r="CJ13" s="85"/>
      <c r="CK13" s="85"/>
      <c r="CL13" s="85"/>
      <c r="CM13" s="85"/>
      <c r="CN13" s="85"/>
      <c r="CO13" s="85"/>
      <c r="CP13" s="85"/>
      <c r="CQ13" s="85"/>
      <c r="CR13" s="85"/>
      <c r="CS13" s="85"/>
      <c r="CT13" s="85"/>
      <c r="CU13" s="85"/>
      <c r="CV13" s="85"/>
    </row>
    <row r="14" spans="1:131" ht="15" customHeight="1" x14ac:dyDescent="0.25">
      <c r="A14" s="491"/>
      <c r="B14" s="491"/>
      <c r="C14" s="491"/>
      <c r="D14" s="433" t="s">
        <v>302</v>
      </c>
      <c r="E14" s="433"/>
      <c r="F14" s="433"/>
      <c r="G14" s="433"/>
      <c r="H14" s="433"/>
      <c r="I14" s="433"/>
      <c r="K14" s="492" t="e">
        <f>VLOOKUP("x",Mannschaftsaufstellung!O5:V16,8,FALSE)</f>
        <v>#N/A</v>
      </c>
      <c r="L14" s="493"/>
      <c r="M14" s="493"/>
      <c r="N14" s="493"/>
      <c r="O14" s="493"/>
      <c r="P14" s="493"/>
      <c r="Q14" s="493"/>
      <c r="R14" s="493"/>
      <c r="S14" s="493"/>
      <c r="T14" s="493"/>
      <c r="U14" s="493"/>
      <c r="V14" s="493"/>
      <c r="W14" s="493"/>
      <c r="X14" s="494"/>
      <c r="Y14" s="494"/>
      <c r="Z14" s="494"/>
      <c r="AA14" s="494"/>
      <c r="AB14" s="494"/>
      <c r="AC14" s="494"/>
      <c r="AD14" s="494"/>
      <c r="AE14" s="494"/>
      <c r="AF14" s="494"/>
      <c r="AG14" s="494"/>
      <c r="AH14" s="494"/>
      <c r="AI14" s="495"/>
      <c r="AJ14" s="81"/>
      <c r="AK14" s="496" t="s">
        <v>201</v>
      </c>
      <c r="AL14" s="496"/>
      <c r="AM14" s="81"/>
      <c r="AN14" s="492" t="e">
        <f>VLOOKUP("x",Mannschaftsaufstellung!O38:V49,8,FALSE)</f>
        <v>#N/A</v>
      </c>
      <c r="AO14" s="493"/>
      <c r="AP14" s="493"/>
      <c r="AQ14" s="493"/>
      <c r="AR14" s="493"/>
      <c r="AS14" s="493"/>
      <c r="AT14" s="493"/>
      <c r="AU14" s="493"/>
      <c r="AV14" s="493"/>
      <c r="AW14" s="493"/>
      <c r="AX14" s="493"/>
      <c r="AY14" s="493"/>
      <c r="AZ14" s="493"/>
      <c r="BA14" s="494"/>
      <c r="BB14" s="494"/>
      <c r="BC14" s="494"/>
      <c r="BD14" s="494"/>
      <c r="BE14" s="494"/>
      <c r="BF14" s="494"/>
      <c r="BG14" s="494"/>
      <c r="BH14" s="494"/>
      <c r="BI14" s="494"/>
      <c r="BJ14" s="494"/>
      <c r="BK14" s="494"/>
      <c r="BL14" s="495"/>
      <c r="BN14" s="479"/>
      <c r="BO14" s="480"/>
      <c r="BP14" s="475" t="s">
        <v>301</v>
      </c>
      <c r="BQ14" s="480"/>
      <c r="BR14" s="483"/>
      <c r="BS14" s="85"/>
      <c r="BT14" s="479"/>
      <c r="BU14" s="480"/>
      <c r="BV14" s="475" t="s">
        <v>301</v>
      </c>
      <c r="BW14" s="480"/>
      <c r="BX14" s="483"/>
      <c r="BY14" s="85"/>
      <c r="BZ14" s="479"/>
      <c r="CA14" s="480"/>
      <c r="CB14" s="475" t="s">
        <v>301</v>
      </c>
      <c r="CC14" s="480"/>
      <c r="CD14" s="483"/>
      <c r="CE14" s="85"/>
      <c r="CF14" s="474">
        <f>BZ14+BT14+BN14</f>
        <v>0</v>
      </c>
      <c r="CG14" s="475"/>
      <c r="CH14" s="475" t="s">
        <v>301</v>
      </c>
      <c r="CI14" s="475">
        <f>CC14+BW14+BQ14</f>
        <v>0</v>
      </c>
      <c r="CJ14" s="477"/>
      <c r="CK14" s="85"/>
      <c r="CL14" s="474">
        <f>DE14+DG14+DI14</f>
        <v>0</v>
      </c>
      <c r="CM14" s="475"/>
      <c r="CN14" s="475" t="s">
        <v>301</v>
      </c>
      <c r="CO14" s="475">
        <f>DF14+DH14+DJ14</f>
        <v>0</v>
      </c>
      <c r="CP14" s="477"/>
      <c r="CQ14" s="85"/>
      <c r="CR14" s="474">
        <f>IF(CL14=2,1,0)</f>
        <v>0</v>
      </c>
      <c r="CS14" s="475"/>
      <c r="CT14" s="475" t="s">
        <v>301</v>
      </c>
      <c r="CU14" s="475">
        <f>IF(CO14=2,1,0)</f>
        <v>0</v>
      </c>
      <c r="CV14" s="477"/>
      <c r="CX14" s="485" t="str">
        <f>IF(DK14&gt;1,0,"!")</f>
        <v>!</v>
      </c>
      <c r="CY14" s="486"/>
      <c r="CZ14" s="487"/>
      <c r="DB14" s="1">
        <f>IF(A14&gt;0,1,0)</f>
        <v>0</v>
      </c>
      <c r="DC14" s="1">
        <f>IF(X14&gt;0,1,0)</f>
        <v>0</v>
      </c>
      <c r="DD14" s="1">
        <f>IF(BA14&gt;0,1,0)</f>
        <v>0</v>
      </c>
      <c r="DE14" s="1">
        <f>IF(BN14&gt;BQ14,1,0)</f>
        <v>0</v>
      </c>
      <c r="DF14" s="1">
        <f>IF(BQ14&gt;BN14,1,0)</f>
        <v>0</v>
      </c>
      <c r="DG14" s="1">
        <f>IF(BT14&gt;BW14,1,0)</f>
        <v>0</v>
      </c>
      <c r="DH14" s="1">
        <f>IF(BW14&gt;BT14,1,0)</f>
        <v>0</v>
      </c>
      <c r="DI14" s="1">
        <f>IF(BZ14&gt;CC14,1,0)</f>
        <v>0</v>
      </c>
      <c r="DJ14" s="1">
        <f>IF(CC14&gt;BZ14,1,0)</f>
        <v>0</v>
      </c>
      <c r="DK14" s="1">
        <f>IF(A14=0,0,DJ14+DI14+DH14+DG14+DF14+DE14)</f>
        <v>0</v>
      </c>
      <c r="DL14">
        <f>DE14+DF14+DG14+DH14+DI14+DJ14</f>
        <v>0</v>
      </c>
      <c r="DM14">
        <f>IF(CX14=0,1,0)</f>
        <v>0</v>
      </c>
      <c r="DN14">
        <v>1</v>
      </c>
      <c r="DP14">
        <f>CF14+CI14</f>
        <v>0</v>
      </c>
    </row>
    <row r="15" spans="1:131" ht="15" customHeight="1" x14ac:dyDescent="0.25">
      <c r="A15" s="491"/>
      <c r="B15" s="491"/>
      <c r="C15" s="491"/>
      <c r="D15" s="433"/>
      <c r="E15" s="433"/>
      <c r="F15" s="433"/>
      <c r="G15" s="433"/>
      <c r="H15" s="433"/>
      <c r="I15" s="433"/>
      <c r="K15" s="497" t="e">
        <f>VLOOKUP("x",Mannschaftsaufstellung!P5:V16,7,TRUE)</f>
        <v>#N/A</v>
      </c>
      <c r="L15" s="498"/>
      <c r="M15" s="498"/>
      <c r="N15" s="498"/>
      <c r="O15" s="498"/>
      <c r="P15" s="498"/>
      <c r="Q15" s="498"/>
      <c r="R15" s="498"/>
      <c r="S15" s="498"/>
      <c r="T15" s="498"/>
      <c r="U15" s="498"/>
      <c r="V15" s="498"/>
      <c r="W15" s="498"/>
      <c r="X15" s="499"/>
      <c r="Y15" s="499"/>
      <c r="Z15" s="499"/>
      <c r="AA15" s="499"/>
      <c r="AB15" s="499"/>
      <c r="AC15" s="499"/>
      <c r="AD15" s="499"/>
      <c r="AE15" s="499"/>
      <c r="AF15" s="499"/>
      <c r="AG15" s="499"/>
      <c r="AH15" s="499"/>
      <c r="AI15" s="500"/>
      <c r="AJ15" s="81"/>
      <c r="AK15" s="496"/>
      <c r="AL15" s="496"/>
      <c r="AM15" s="81"/>
      <c r="AN15" s="497" t="e">
        <f>VLOOKUP("x",Mannschaftsaufstellung!P38:V49,7,TRUE)</f>
        <v>#N/A</v>
      </c>
      <c r="AO15" s="498"/>
      <c r="AP15" s="498"/>
      <c r="AQ15" s="498"/>
      <c r="AR15" s="498"/>
      <c r="AS15" s="498"/>
      <c r="AT15" s="498"/>
      <c r="AU15" s="498"/>
      <c r="AV15" s="498"/>
      <c r="AW15" s="498"/>
      <c r="AX15" s="498"/>
      <c r="AY15" s="498"/>
      <c r="AZ15" s="498"/>
      <c r="BA15" s="499"/>
      <c r="BB15" s="499"/>
      <c r="BC15" s="499"/>
      <c r="BD15" s="499"/>
      <c r="BE15" s="499"/>
      <c r="BF15" s="499"/>
      <c r="BG15" s="499"/>
      <c r="BH15" s="499"/>
      <c r="BI15" s="499"/>
      <c r="BJ15" s="499"/>
      <c r="BK15" s="499"/>
      <c r="BL15" s="500"/>
      <c r="BN15" s="481"/>
      <c r="BO15" s="482"/>
      <c r="BP15" s="467"/>
      <c r="BQ15" s="482"/>
      <c r="BR15" s="484"/>
      <c r="BS15" s="85"/>
      <c r="BT15" s="481"/>
      <c r="BU15" s="482"/>
      <c r="BV15" s="467"/>
      <c r="BW15" s="482"/>
      <c r="BX15" s="484"/>
      <c r="BY15" s="85"/>
      <c r="BZ15" s="481"/>
      <c r="CA15" s="482"/>
      <c r="CB15" s="467"/>
      <c r="CC15" s="482"/>
      <c r="CD15" s="484"/>
      <c r="CE15" s="85"/>
      <c r="CF15" s="476"/>
      <c r="CG15" s="467"/>
      <c r="CH15" s="467"/>
      <c r="CI15" s="467"/>
      <c r="CJ15" s="478"/>
      <c r="CK15" s="85"/>
      <c r="CL15" s="476"/>
      <c r="CM15" s="467"/>
      <c r="CN15" s="467"/>
      <c r="CO15" s="467"/>
      <c r="CP15" s="478"/>
      <c r="CQ15" s="85"/>
      <c r="CR15" s="476"/>
      <c r="CS15" s="467"/>
      <c r="CT15" s="467"/>
      <c r="CU15" s="467"/>
      <c r="CV15" s="478"/>
      <c r="CX15" s="488"/>
      <c r="CY15" s="489"/>
      <c r="CZ15" s="490"/>
      <c r="DC15" s="1">
        <f>IF(X15&gt;0,1,0)</f>
        <v>0</v>
      </c>
      <c r="DD15" s="1">
        <f>IF(BA15&gt;0,1,0)</f>
        <v>0</v>
      </c>
    </row>
    <row r="16" spans="1:131" ht="7.5" customHeight="1" x14ac:dyDescent="0.25">
      <c r="BN16" s="85"/>
      <c r="BO16" s="85"/>
      <c r="BP16" s="85"/>
      <c r="BQ16" s="85"/>
      <c r="BR16" s="85"/>
      <c r="BS16" s="85"/>
      <c r="BT16" s="85"/>
      <c r="BU16" s="85"/>
      <c r="BV16" s="85"/>
      <c r="BW16" s="85"/>
      <c r="BX16" s="85"/>
      <c r="BY16" s="85"/>
      <c r="BZ16" s="85"/>
      <c r="CA16" s="85"/>
      <c r="CB16" s="85"/>
      <c r="CC16" s="85"/>
      <c r="CD16" s="85"/>
      <c r="CE16" s="85"/>
      <c r="CF16" s="85"/>
      <c r="CG16" s="85"/>
      <c r="CH16" s="85"/>
      <c r="CI16" s="85"/>
      <c r="CJ16" s="85"/>
      <c r="CK16" s="85"/>
      <c r="CL16" s="85"/>
      <c r="CM16" s="85"/>
      <c r="CN16" s="85"/>
      <c r="CO16" s="85"/>
      <c r="CP16" s="85"/>
      <c r="CQ16" s="85"/>
      <c r="CR16" s="85"/>
      <c r="CS16" s="85"/>
      <c r="CT16" s="85"/>
      <c r="CU16" s="85"/>
      <c r="CV16" s="85"/>
    </row>
    <row r="17" spans="1:125" ht="15.75" x14ac:dyDescent="0.25">
      <c r="A17" s="512"/>
      <c r="B17" s="512"/>
      <c r="C17" s="512"/>
      <c r="D17" s="513" t="s">
        <v>304</v>
      </c>
      <c r="E17" s="514"/>
      <c r="F17" s="514"/>
      <c r="G17" s="514"/>
      <c r="H17" s="514"/>
      <c r="I17" s="515"/>
      <c r="J17" s="57"/>
      <c r="K17" s="501" t="e">
        <f>VLOOKUP("x",Mannschaftsaufstellung!Q5:V16,6,FALSE)</f>
        <v>#N/A</v>
      </c>
      <c r="L17" s="502"/>
      <c r="M17" s="502"/>
      <c r="N17" s="502"/>
      <c r="O17" s="502"/>
      <c r="P17" s="502"/>
      <c r="Q17" s="502"/>
      <c r="R17" s="502"/>
      <c r="S17" s="502"/>
      <c r="T17" s="502"/>
      <c r="U17" s="502"/>
      <c r="V17" s="502"/>
      <c r="W17" s="502"/>
      <c r="X17" s="503"/>
      <c r="Y17" s="503"/>
      <c r="Z17" s="503"/>
      <c r="AA17" s="503"/>
      <c r="AB17" s="503"/>
      <c r="AC17" s="503"/>
      <c r="AD17" s="503"/>
      <c r="AE17" s="503"/>
      <c r="AF17" s="503"/>
      <c r="AG17" s="503"/>
      <c r="AH17" s="503"/>
      <c r="AI17" s="504"/>
      <c r="AJ17" s="84"/>
      <c r="AK17" s="505" t="s">
        <v>201</v>
      </c>
      <c r="AL17" s="505"/>
      <c r="AM17" s="84"/>
      <c r="AN17" s="501" t="e">
        <f>VLOOKUP("x",Mannschaftsaufstellung!Q38:V49,6,FALSE)</f>
        <v>#N/A</v>
      </c>
      <c r="AO17" s="502"/>
      <c r="AP17" s="502"/>
      <c r="AQ17" s="502"/>
      <c r="AR17" s="502"/>
      <c r="AS17" s="502"/>
      <c r="AT17" s="502"/>
      <c r="AU17" s="502"/>
      <c r="AV17" s="502"/>
      <c r="AW17" s="502"/>
      <c r="AX17" s="502"/>
      <c r="AY17" s="502"/>
      <c r="AZ17" s="502"/>
      <c r="BA17" s="503"/>
      <c r="BB17" s="503"/>
      <c r="BC17" s="503"/>
      <c r="BD17" s="503"/>
      <c r="BE17" s="503"/>
      <c r="BF17" s="503"/>
      <c r="BG17" s="503"/>
      <c r="BH17" s="503"/>
      <c r="BI17" s="503"/>
      <c r="BJ17" s="503"/>
      <c r="BK17" s="503"/>
      <c r="BL17" s="504"/>
      <c r="BM17" s="57"/>
      <c r="BN17" s="516"/>
      <c r="BO17" s="517"/>
      <c r="BP17" s="83" t="s">
        <v>301</v>
      </c>
      <c r="BQ17" s="517"/>
      <c r="BR17" s="518"/>
      <c r="BS17" s="85"/>
      <c r="BT17" s="516"/>
      <c r="BU17" s="517"/>
      <c r="BV17" s="83" t="s">
        <v>301</v>
      </c>
      <c r="BW17" s="517"/>
      <c r="BX17" s="518"/>
      <c r="BY17" s="85"/>
      <c r="BZ17" s="516"/>
      <c r="CA17" s="517"/>
      <c r="CB17" s="83" t="s">
        <v>301</v>
      </c>
      <c r="CC17" s="517"/>
      <c r="CD17" s="518"/>
      <c r="CE17" s="85"/>
      <c r="CF17" s="506">
        <f>BN17+BT17+BZ17</f>
        <v>0</v>
      </c>
      <c r="CG17" s="507"/>
      <c r="CH17" s="83" t="s">
        <v>301</v>
      </c>
      <c r="CI17" s="507">
        <f>BQ17+BW17+CC17</f>
        <v>0</v>
      </c>
      <c r="CJ17" s="508"/>
      <c r="CK17" s="86"/>
      <c r="CL17" s="506">
        <f>DE17+DG17+DI17</f>
        <v>0</v>
      </c>
      <c r="CM17" s="507"/>
      <c r="CN17" s="83" t="s">
        <v>301</v>
      </c>
      <c r="CO17" s="507">
        <f>DF17+DH17+DJ17</f>
        <v>0</v>
      </c>
      <c r="CP17" s="508"/>
      <c r="CQ17" s="86"/>
      <c r="CR17" s="506">
        <f>IF(CL17=2,1,0)</f>
        <v>0</v>
      </c>
      <c r="CS17" s="507"/>
      <c r="CT17" s="83" t="s">
        <v>301</v>
      </c>
      <c r="CU17" s="507">
        <f>IF(CO17=2,1,0)</f>
        <v>0</v>
      </c>
      <c r="CV17" s="508"/>
      <c r="CX17" s="509" t="str">
        <f>IF(DK17&gt;1,0,"!")</f>
        <v>!</v>
      </c>
      <c r="CY17" s="510"/>
      <c r="CZ17" s="511"/>
      <c r="DB17" s="1">
        <f>IF(A17&gt;0,1,0)</f>
        <v>0</v>
      </c>
      <c r="DC17" s="1">
        <f>IF(X17&gt;0,1,0)</f>
        <v>0</v>
      </c>
      <c r="DD17" s="1">
        <f>IF(BA17&gt;0,1,0)</f>
        <v>0</v>
      </c>
      <c r="DE17" s="1">
        <f>IF(BN17&gt;BQ17,1,0)</f>
        <v>0</v>
      </c>
      <c r="DF17" s="1">
        <f>IF(BQ17&gt;BN17,1,0)</f>
        <v>0</v>
      </c>
      <c r="DG17" s="1">
        <f>IF(BT17&gt;BW17,1,0)</f>
        <v>0</v>
      </c>
      <c r="DH17" s="1">
        <f>IF(BW17&gt;BT17,1,0)</f>
        <v>0</v>
      </c>
      <c r="DI17" s="1">
        <f>IF(BZ17&gt;CC17,1,0)</f>
        <v>0</v>
      </c>
      <c r="DJ17" s="1">
        <f>IF(CC17&gt;BZ17,1,0)</f>
        <v>0</v>
      </c>
      <c r="DK17" s="1">
        <f>IF(A17=0,0,DJ17+DI17+DH17+DG17+DF17+DE17)</f>
        <v>0</v>
      </c>
      <c r="DL17">
        <f>DE17+DF17+DG17+DH17+DI17+DJ17</f>
        <v>0</v>
      </c>
      <c r="DM17">
        <f>IF(CX17=0,1,0)</f>
        <v>0</v>
      </c>
      <c r="DN17">
        <v>1</v>
      </c>
      <c r="DP17">
        <f>CF17+CI17</f>
        <v>0</v>
      </c>
    </row>
    <row r="18" spans="1:125" ht="7.5" customHeight="1" x14ac:dyDescent="0.25">
      <c r="BN18" s="87"/>
      <c r="BO18" s="87"/>
      <c r="BP18" s="87"/>
      <c r="BQ18" s="87"/>
      <c r="BR18" s="87"/>
      <c r="BS18" s="87"/>
      <c r="BT18" s="87"/>
      <c r="BU18" s="87"/>
      <c r="BV18" s="87"/>
      <c r="BW18" s="87"/>
      <c r="BX18" s="87"/>
      <c r="BY18" s="87"/>
      <c r="BZ18" s="87"/>
      <c r="CA18" s="87"/>
      <c r="CB18" s="87"/>
      <c r="CC18" s="87"/>
      <c r="CD18" s="87"/>
      <c r="CE18" s="87"/>
      <c r="CF18" s="87"/>
      <c r="CG18" s="87"/>
      <c r="CH18" s="87"/>
      <c r="CI18" s="87"/>
      <c r="CJ18" s="87"/>
      <c r="CK18" s="87"/>
      <c r="CL18" s="87"/>
      <c r="CM18" s="87"/>
      <c r="CN18" s="87"/>
      <c r="CO18" s="87"/>
      <c r="CP18" s="87"/>
      <c r="CQ18" s="87"/>
      <c r="CR18" s="87"/>
      <c r="CS18" s="87"/>
      <c r="CT18" s="87"/>
      <c r="CU18" s="87"/>
      <c r="CV18" s="87"/>
    </row>
    <row r="19" spans="1:125" ht="15.75" x14ac:dyDescent="0.25">
      <c r="A19" s="512"/>
      <c r="B19" s="512"/>
      <c r="C19" s="512"/>
      <c r="D19" s="513" t="s">
        <v>56</v>
      </c>
      <c r="E19" s="514"/>
      <c r="F19" s="514"/>
      <c r="G19" s="514"/>
      <c r="H19" s="514"/>
      <c r="I19" s="515"/>
      <c r="J19" s="57"/>
      <c r="K19" s="501" t="e">
        <f>VLOOKUP("x",Mannschaftsaufstellung!R17:V28,5,FALSE)</f>
        <v>#N/A</v>
      </c>
      <c r="L19" s="502"/>
      <c r="M19" s="502"/>
      <c r="N19" s="502"/>
      <c r="O19" s="502"/>
      <c r="P19" s="502"/>
      <c r="Q19" s="502"/>
      <c r="R19" s="502"/>
      <c r="S19" s="502"/>
      <c r="T19" s="502"/>
      <c r="U19" s="502"/>
      <c r="V19" s="502"/>
      <c r="W19" s="502"/>
      <c r="X19" s="503"/>
      <c r="Y19" s="503"/>
      <c r="Z19" s="503"/>
      <c r="AA19" s="503"/>
      <c r="AB19" s="503"/>
      <c r="AC19" s="503"/>
      <c r="AD19" s="503"/>
      <c r="AE19" s="503"/>
      <c r="AF19" s="503"/>
      <c r="AG19" s="503"/>
      <c r="AH19" s="503"/>
      <c r="AI19" s="504"/>
      <c r="AJ19" s="84"/>
      <c r="AK19" s="505" t="s">
        <v>201</v>
      </c>
      <c r="AL19" s="505"/>
      <c r="AM19" s="84"/>
      <c r="AN19" s="501" t="e">
        <f>VLOOKUP("x",Mannschaftsaufstellung!R50:V61,5,FALSE)</f>
        <v>#N/A</v>
      </c>
      <c r="AO19" s="502"/>
      <c r="AP19" s="502"/>
      <c r="AQ19" s="502"/>
      <c r="AR19" s="502"/>
      <c r="AS19" s="502"/>
      <c r="AT19" s="502"/>
      <c r="AU19" s="502"/>
      <c r="AV19" s="502"/>
      <c r="AW19" s="502"/>
      <c r="AX19" s="502"/>
      <c r="AY19" s="502"/>
      <c r="AZ19" s="502"/>
      <c r="BA19" s="503"/>
      <c r="BB19" s="503"/>
      <c r="BC19" s="503"/>
      <c r="BD19" s="503"/>
      <c r="BE19" s="503"/>
      <c r="BF19" s="503"/>
      <c r="BG19" s="503"/>
      <c r="BH19" s="503"/>
      <c r="BI19" s="503"/>
      <c r="BJ19" s="503"/>
      <c r="BK19" s="503"/>
      <c r="BL19" s="504"/>
      <c r="BM19" s="57"/>
      <c r="BN19" s="516"/>
      <c r="BO19" s="517"/>
      <c r="BP19" s="83" t="s">
        <v>301</v>
      </c>
      <c r="BQ19" s="517"/>
      <c r="BR19" s="518"/>
      <c r="BS19" s="85"/>
      <c r="BT19" s="516"/>
      <c r="BU19" s="517"/>
      <c r="BV19" s="83" t="s">
        <v>301</v>
      </c>
      <c r="BW19" s="517"/>
      <c r="BX19" s="518"/>
      <c r="BY19" s="85"/>
      <c r="BZ19" s="516"/>
      <c r="CA19" s="517"/>
      <c r="CB19" s="83" t="s">
        <v>301</v>
      </c>
      <c r="CC19" s="517"/>
      <c r="CD19" s="518"/>
      <c r="CE19" s="85"/>
      <c r="CF19" s="506">
        <f>BN19+BT19+BZ19</f>
        <v>0</v>
      </c>
      <c r="CG19" s="507"/>
      <c r="CH19" s="83" t="s">
        <v>301</v>
      </c>
      <c r="CI19" s="507">
        <f>BQ19+BW19+CC19</f>
        <v>0</v>
      </c>
      <c r="CJ19" s="508"/>
      <c r="CK19" s="86"/>
      <c r="CL19" s="506">
        <f>DE19+DG19+DI19</f>
        <v>0</v>
      </c>
      <c r="CM19" s="507"/>
      <c r="CN19" s="83" t="s">
        <v>301</v>
      </c>
      <c r="CO19" s="507">
        <f>DF19+DH19+DJ19</f>
        <v>0</v>
      </c>
      <c r="CP19" s="508"/>
      <c r="CQ19" s="86"/>
      <c r="CR19" s="506">
        <f>IF(CL19=2,1,0)</f>
        <v>0</v>
      </c>
      <c r="CS19" s="507"/>
      <c r="CT19" s="83" t="s">
        <v>301</v>
      </c>
      <c r="CU19" s="507">
        <f>IF(CO19=2,1,0)</f>
        <v>0</v>
      </c>
      <c r="CV19" s="508"/>
      <c r="CX19" s="509" t="str">
        <f>IF(DK19&gt;1,0,"!")</f>
        <v>!</v>
      </c>
      <c r="CY19" s="510"/>
      <c r="CZ19" s="511"/>
      <c r="DB19" s="1">
        <f>IF(A19&gt;0,1,0)</f>
        <v>0</v>
      </c>
      <c r="DC19" s="1">
        <f>IF(X19&gt;0,1,0)</f>
        <v>0</v>
      </c>
      <c r="DD19" s="1">
        <f>IF(BA19&gt;0,1,0)</f>
        <v>0</v>
      </c>
      <c r="DE19" s="1">
        <f>IF(BN19&gt;BQ19,1,0)</f>
        <v>0</v>
      </c>
      <c r="DF19" s="1">
        <f>IF(BQ19&gt;BN19,1,0)</f>
        <v>0</v>
      </c>
      <c r="DG19" s="1">
        <f>IF(BT19&gt;BW19,1,0)</f>
        <v>0</v>
      </c>
      <c r="DH19" s="1">
        <f>IF(BW19&gt;BT19,1,0)</f>
        <v>0</v>
      </c>
      <c r="DI19" s="1">
        <f>IF(BZ19&gt;CC19,1,0)</f>
        <v>0</v>
      </c>
      <c r="DJ19" s="1">
        <f>IF(CC19&gt;BZ19,1,0)</f>
        <v>0</v>
      </c>
      <c r="DK19" s="1">
        <f>IF(A19=0,0,DJ19+DI19+DH19+DG19+DF19+DE19)</f>
        <v>0</v>
      </c>
      <c r="DL19">
        <f>DE19+DF19+DG19+DH19+DI19+DJ19</f>
        <v>0</v>
      </c>
      <c r="DM19">
        <f>IF(CX19=0,1,0)</f>
        <v>0</v>
      </c>
      <c r="DN19">
        <v>1</v>
      </c>
      <c r="DP19">
        <f>CF19+CI19</f>
        <v>0</v>
      </c>
    </row>
    <row r="20" spans="1:125" ht="7.5" customHeight="1" x14ac:dyDescent="0.25">
      <c r="BN20" s="87"/>
      <c r="BO20" s="87"/>
      <c r="BP20" s="87"/>
      <c r="BQ20" s="87"/>
      <c r="BR20" s="87"/>
      <c r="BS20" s="87"/>
      <c r="BT20" s="87"/>
      <c r="BU20" s="87"/>
      <c r="BV20" s="87"/>
      <c r="BW20" s="87"/>
      <c r="BX20" s="87"/>
      <c r="BY20" s="87"/>
      <c r="BZ20" s="87"/>
      <c r="CA20" s="87"/>
      <c r="CB20" s="87"/>
      <c r="CC20" s="87"/>
      <c r="CD20" s="87"/>
      <c r="CE20" s="87"/>
      <c r="CF20" s="87"/>
      <c r="CG20" s="87"/>
      <c r="CH20" s="87"/>
      <c r="CI20" s="87"/>
      <c r="CJ20" s="87"/>
      <c r="CK20" s="87"/>
      <c r="CL20" s="87"/>
      <c r="CM20" s="87"/>
      <c r="CN20" s="87"/>
      <c r="CO20" s="87"/>
      <c r="CP20" s="87"/>
      <c r="CQ20" s="87"/>
      <c r="CR20" s="87"/>
      <c r="CS20" s="87"/>
      <c r="CT20" s="87"/>
      <c r="CU20" s="87"/>
      <c r="CV20" s="87"/>
    </row>
    <row r="21" spans="1:125" x14ac:dyDescent="0.25">
      <c r="A21" s="491"/>
      <c r="B21" s="491"/>
      <c r="C21" s="491"/>
      <c r="D21" s="433" t="s">
        <v>303</v>
      </c>
      <c r="E21" s="433"/>
      <c r="F21" s="433"/>
      <c r="G21" s="433"/>
      <c r="H21" s="433"/>
      <c r="I21" s="433"/>
      <c r="K21" s="492" t="e">
        <f>VLOOKUP("x",Mannschaftsaufstellung!S5:V16,4,FALSE)</f>
        <v>#N/A</v>
      </c>
      <c r="L21" s="493"/>
      <c r="M21" s="493"/>
      <c r="N21" s="493"/>
      <c r="O21" s="493"/>
      <c r="P21" s="493"/>
      <c r="Q21" s="493"/>
      <c r="R21" s="493"/>
      <c r="S21" s="493"/>
      <c r="T21" s="493"/>
      <c r="U21" s="493"/>
      <c r="V21" s="493"/>
      <c r="W21" s="493"/>
      <c r="X21" s="494"/>
      <c r="Y21" s="494"/>
      <c r="Z21" s="494"/>
      <c r="AA21" s="494"/>
      <c r="AB21" s="494"/>
      <c r="AC21" s="494"/>
      <c r="AD21" s="494"/>
      <c r="AE21" s="494"/>
      <c r="AF21" s="494"/>
      <c r="AG21" s="494"/>
      <c r="AH21" s="494"/>
      <c r="AI21" s="495"/>
      <c r="AJ21" s="81"/>
      <c r="AK21" s="496" t="s">
        <v>201</v>
      </c>
      <c r="AL21" s="496"/>
      <c r="AM21" s="81"/>
      <c r="AN21" s="492" t="e">
        <f>VLOOKUP("x",Mannschaftsaufstellung!S38:V49,4,FALSE)</f>
        <v>#N/A</v>
      </c>
      <c r="AO21" s="493"/>
      <c r="AP21" s="493"/>
      <c r="AQ21" s="493"/>
      <c r="AR21" s="493"/>
      <c r="AS21" s="493"/>
      <c r="AT21" s="493"/>
      <c r="AU21" s="493"/>
      <c r="AV21" s="493"/>
      <c r="AW21" s="493"/>
      <c r="AX21" s="493"/>
      <c r="AY21" s="493"/>
      <c r="AZ21" s="493"/>
      <c r="BA21" s="494"/>
      <c r="BB21" s="494"/>
      <c r="BC21" s="494"/>
      <c r="BD21" s="494"/>
      <c r="BE21" s="494"/>
      <c r="BF21" s="494"/>
      <c r="BG21" s="494"/>
      <c r="BH21" s="494"/>
      <c r="BI21" s="494"/>
      <c r="BJ21" s="494"/>
      <c r="BK21" s="494"/>
      <c r="BL21" s="495"/>
      <c r="BN21" s="479"/>
      <c r="BO21" s="480"/>
      <c r="BP21" s="475" t="s">
        <v>301</v>
      </c>
      <c r="BQ21" s="480"/>
      <c r="BR21" s="483"/>
      <c r="BS21" s="85"/>
      <c r="BT21" s="479"/>
      <c r="BU21" s="480"/>
      <c r="BV21" s="475" t="s">
        <v>301</v>
      </c>
      <c r="BW21" s="480"/>
      <c r="BX21" s="483"/>
      <c r="BY21" s="85"/>
      <c r="BZ21" s="479"/>
      <c r="CA21" s="480"/>
      <c r="CB21" s="475" t="s">
        <v>301</v>
      </c>
      <c r="CC21" s="480"/>
      <c r="CD21" s="483"/>
      <c r="CE21" s="85"/>
      <c r="CF21" s="474">
        <f>BZ21+BT21+BN21</f>
        <v>0</v>
      </c>
      <c r="CG21" s="475"/>
      <c r="CH21" s="475" t="s">
        <v>301</v>
      </c>
      <c r="CI21" s="475">
        <f>CC21+BW21+BQ21</f>
        <v>0</v>
      </c>
      <c r="CJ21" s="477"/>
      <c r="CK21" s="85"/>
      <c r="CL21" s="474">
        <f>DE21+DG21+DI21</f>
        <v>0</v>
      </c>
      <c r="CM21" s="475"/>
      <c r="CN21" s="475" t="s">
        <v>301</v>
      </c>
      <c r="CO21" s="475">
        <f>DF21+DH21+DJ21</f>
        <v>0</v>
      </c>
      <c r="CP21" s="477"/>
      <c r="CQ21" s="85"/>
      <c r="CR21" s="474">
        <f>IF(CL21=2,1,0)</f>
        <v>0</v>
      </c>
      <c r="CS21" s="475"/>
      <c r="CT21" s="475" t="s">
        <v>301</v>
      </c>
      <c r="CU21" s="475">
        <f>IF(CO21=2,1,0)</f>
        <v>0</v>
      </c>
      <c r="CV21" s="477"/>
      <c r="CX21" s="485" t="str">
        <f>IF(DK21&gt;1,0,"!")</f>
        <v>!</v>
      </c>
      <c r="CY21" s="486"/>
      <c r="CZ21" s="487"/>
      <c r="DB21" s="1">
        <f>IF(A21&gt;0,1,0)</f>
        <v>0</v>
      </c>
      <c r="DC21" s="1">
        <f>IF(X21&gt;0,1,0)</f>
        <v>0</v>
      </c>
      <c r="DD21" s="1">
        <f>IF(BA21&gt;0,1,0)</f>
        <v>0</v>
      </c>
      <c r="DE21" s="1">
        <f>IF(BN21&gt;BQ21,1,0)</f>
        <v>0</v>
      </c>
      <c r="DF21" s="1">
        <f>IF(BQ21&gt;BN21,1,0)</f>
        <v>0</v>
      </c>
      <c r="DG21" s="1">
        <f>IF(BT21&gt;BW21,1,0)</f>
        <v>0</v>
      </c>
      <c r="DH21" s="1">
        <f>IF(BW21&gt;BT21,1,0)</f>
        <v>0</v>
      </c>
      <c r="DI21" s="1">
        <f>IF(BZ21&gt;CC21,1,0)</f>
        <v>0</v>
      </c>
      <c r="DJ21" s="1">
        <f>IF(CC21&gt;BZ21,1,0)</f>
        <v>0</v>
      </c>
      <c r="DK21" s="1">
        <f>IF(A21=0,0,DJ21+DI21+DH21+DG21+DF21+DE21)</f>
        <v>0</v>
      </c>
      <c r="DL21">
        <f>DE21+DF21+DG21+DH21+DI21+DJ21</f>
        <v>0</v>
      </c>
      <c r="DM21">
        <f>IF(CX21=0,1,0)</f>
        <v>0</v>
      </c>
      <c r="DN21">
        <v>1</v>
      </c>
      <c r="DP21">
        <f>CF21+CI21</f>
        <v>0</v>
      </c>
      <c r="DR21" t="s">
        <v>341</v>
      </c>
    </row>
    <row r="22" spans="1:125" x14ac:dyDescent="0.25">
      <c r="A22" s="491"/>
      <c r="B22" s="491"/>
      <c r="C22" s="491"/>
      <c r="D22" s="433"/>
      <c r="E22" s="433"/>
      <c r="F22" s="433"/>
      <c r="G22" s="433"/>
      <c r="H22" s="433"/>
      <c r="I22" s="433"/>
      <c r="K22" s="497" t="e">
        <f>VLOOKUP("x",Mannschaftsaufstellung!S17:V28,4,TRUE)</f>
        <v>#N/A</v>
      </c>
      <c r="L22" s="498"/>
      <c r="M22" s="498"/>
      <c r="N22" s="498"/>
      <c r="O22" s="498"/>
      <c r="P22" s="498"/>
      <c r="Q22" s="498"/>
      <c r="R22" s="498"/>
      <c r="S22" s="498"/>
      <c r="T22" s="498"/>
      <c r="U22" s="498"/>
      <c r="V22" s="498"/>
      <c r="W22" s="498"/>
      <c r="X22" s="499"/>
      <c r="Y22" s="499"/>
      <c r="Z22" s="499"/>
      <c r="AA22" s="499"/>
      <c r="AB22" s="499"/>
      <c r="AC22" s="499"/>
      <c r="AD22" s="499"/>
      <c r="AE22" s="499"/>
      <c r="AF22" s="499"/>
      <c r="AG22" s="499"/>
      <c r="AH22" s="499"/>
      <c r="AI22" s="500"/>
      <c r="AJ22" s="81"/>
      <c r="AK22" s="496"/>
      <c r="AL22" s="496"/>
      <c r="AM22" s="81"/>
      <c r="AN22" s="497" t="e">
        <f>VLOOKUP("x",Mannschaftsaufstellung!S50:V61,4,TRUE)</f>
        <v>#N/A</v>
      </c>
      <c r="AO22" s="498"/>
      <c r="AP22" s="498"/>
      <c r="AQ22" s="498"/>
      <c r="AR22" s="498"/>
      <c r="AS22" s="498"/>
      <c r="AT22" s="498"/>
      <c r="AU22" s="498"/>
      <c r="AV22" s="498"/>
      <c r="AW22" s="498"/>
      <c r="AX22" s="498"/>
      <c r="AY22" s="498"/>
      <c r="AZ22" s="498"/>
      <c r="BA22" s="499"/>
      <c r="BB22" s="499"/>
      <c r="BC22" s="499"/>
      <c r="BD22" s="499"/>
      <c r="BE22" s="499"/>
      <c r="BF22" s="499"/>
      <c r="BG22" s="499"/>
      <c r="BH22" s="499"/>
      <c r="BI22" s="499"/>
      <c r="BJ22" s="499"/>
      <c r="BK22" s="499"/>
      <c r="BL22" s="500"/>
      <c r="BN22" s="481"/>
      <c r="BO22" s="482"/>
      <c r="BP22" s="467"/>
      <c r="BQ22" s="482"/>
      <c r="BR22" s="484"/>
      <c r="BS22" s="85"/>
      <c r="BT22" s="481"/>
      <c r="BU22" s="482"/>
      <c r="BV22" s="467"/>
      <c r="BW22" s="482"/>
      <c r="BX22" s="484"/>
      <c r="BY22" s="85"/>
      <c r="BZ22" s="481"/>
      <c r="CA22" s="482"/>
      <c r="CB22" s="467"/>
      <c r="CC22" s="482"/>
      <c r="CD22" s="484"/>
      <c r="CE22" s="85"/>
      <c r="CF22" s="476"/>
      <c r="CG22" s="467"/>
      <c r="CH22" s="467"/>
      <c r="CI22" s="467"/>
      <c r="CJ22" s="478"/>
      <c r="CK22" s="85"/>
      <c r="CL22" s="476"/>
      <c r="CM22" s="467"/>
      <c r="CN22" s="467"/>
      <c r="CO22" s="467"/>
      <c r="CP22" s="478"/>
      <c r="CQ22" s="85"/>
      <c r="CR22" s="476"/>
      <c r="CS22" s="467"/>
      <c r="CT22" s="467"/>
      <c r="CU22" s="467"/>
      <c r="CV22" s="478"/>
      <c r="CX22" s="488"/>
      <c r="CY22" s="489"/>
      <c r="CZ22" s="490"/>
      <c r="DC22" s="1">
        <f>IF(X22&gt;0,1,0)</f>
        <v>0</v>
      </c>
      <c r="DD22" s="1">
        <f>IF(BA22&gt;0,1,0)</f>
        <v>0</v>
      </c>
    </row>
    <row r="23" spans="1:125" ht="7.5" customHeight="1" x14ac:dyDescent="0.25">
      <c r="BN23" s="87"/>
      <c r="BO23" s="87"/>
      <c r="BP23" s="87"/>
      <c r="BQ23" s="87"/>
      <c r="BR23" s="87"/>
      <c r="BS23" s="87"/>
      <c r="BT23" s="87"/>
      <c r="BU23" s="87"/>
      <c r="BV23" s="87"/>
      <c r="BW23" s="87"/>
      <c r="BX23" s="87"/>
      <c r="BY23" s="87"/>
      <c r="BZ23" s="87"/>
      <c r="CA23" s="87"/>
      <c r="CB23" s="87"/>
      <c r="CC23" s="87"/>
      <c r="CD23" s="87"/>
      <c r="CE23" s="87"/>
      <c r="CF23" s="87"/>
      <c r="CG23" s="87"/>
      <c r="CH23" s="87"/>
      <c r="CI23" s="87"/>
      <c r="CJ23" s="87"/>
      <c r="CK23" s="87"/>
      <c r="CL23" s="87"/>
      <c r="CM23" s="87"/>
      <c r="CN23" s="87"/>
      <c r="CO23" s="87"/>
      <c r="CP23" s="87"/>
      <c r="CQ23" s="87"/>
      <c r="CR23" s="87"/>
      <c r="CS23" s="87"/>
      <c r="CT23" s="87"/>
      <c r="CU23" s="87"/>
      <c r="CV23" s="87"/>
    </row>
    <row r="24" spans="1:125" ht="15.75" x14ac:dyDescent="0.25">
      <c r="A24" s="512"/>
      <c r="B24" s="512"/>
      <c r="C24" s="512"/>
      <c r="D24" s="513" t="s">
        <v>305</v>
      </c>
      <c r="E24" s="514"/>
      <c r="F24" s="514"/>
      <c r="G24" s="514"/>
      <c r="H24" s="514"/>
      <c r="I24" s="515"/>
      <c r="J24" s="57"/>
      <c r="K24" s="501" t="e">
        <f>VLOOKUP("x",Mannschaftsaufstellung!T5:V16,3,FALSE)</f>
        <v>#N/A</v>
      </c>
      <c r="L24" s="502"/>
      <c r="M24" s="502"/>
      <c r="N24" s="502"/>
      <c r="O24" s="502"/>
      <c r="P24" s="502"/>
      <c r="Q24" s="502"/>
      <c r="R24" s="502"/>
      <c r="S24" s="502"/>
      <c r="T24" s="502"/>
      <c r="U24" s="502"/>
      <c r="V24" s="502"/>
      <c r="W24" s="502"/>
      <c r="X24" s="503"/>
      <c r="Y24" s="503"/>
      <c r="Z24" s="503"/>
      <c r="AA24" s="503"/>
      <c r="AB24" s="503"/>
      <c r="AC24" s="503"/>
      <c r="AD24" s="503"/>
      <c r="AE24" s="503"/>
      <c r="AF24" s="503"/>
      <c r="AG24" s="503"/>
      <c r="AH24" s="503"/>
      <c r="AI24" s="504"/>
      <c r="AJ24" s="84"/>
      <c r="AK24" s="505" t="s">
        <v>201</v>
      </c>
      <c r="AL24" s="505"/>
      <c r="AM24" s="84"/>
      <c r="AN24" s="501" t="e">
        <f>VLOOKUP("x",Mannschaftsaufstellung!T38:V49,3,FALSE)</f>
        <v>#N/A</v>
      </c>
      <c r="AO24" s="502"/>
      <c r="AP24" s="502"/>
      <c r="AQ24" s="502"/>
      <c r="AR24" s="502"/>
      <c r="AS24" s="502"/>
      <c r="AT24" s="502"/>
      <c r="AU24" s="502"/>
      <c r="AV24" s="502"/>
      <c r="AW24" s="502"/>
      <c r="AX24" s="502"/>
      <c r="AY24" s="502"/>
      <c r="AZ24" s="502"/>
      <c r="BA24" s="503"/>
      <c r="BB24" s="503"/>
      <c r="BC24" s="503"/>
      <c r="BD24" s="503"/>
      <c r="BE24" s="503"/>
      <c r="BF24" s="503"/>
      <c r="BG24" s="503"/>
      <c r="BH24" s="503"/>
      <c r="BI24" s="503"/>
      <c r="BJ24" s="503"/>
      <c r="BK24" s="503"/>
      <c r="BL24" s="504"/>
      <c r="BM24" s="57"/>
      <c r="BN24" s="516"/>
      <c r="BO24" s="517"/>
      <c r="BP24" s="83" t="s">
        <v>301</v>
      </c>
      <c r="BQ24" s="517"/>
      <c r="BR24" s="518"/>
      <c r="BS24" s="85"/>
      <c r="BT24" s="516"/>
      <c r="BU24" s="517"/>
      <c r="BV24" s="83" t="s">
        <v>301</v>
      </c>
      <c r="BW24" s="517"/>
      <c r="BX24" s="518"/>
      <c r="BY24" s="85"/>
      <c r="BZ24" s="516"/>
      <c r="CA24" s="517"/>
      <c r="CB24" s="83" t="s">
        <v>301</v>
      </c>
      <c r="CC24" s="517"/>
      <c r="CD24" s="518"/>
      <c r="CE24" s="85"/>
      <c r="CF24" s="506">
        <f>BN24+BT24+BZ24</f>
        <v>0</v>
      </c>
      <c r="CG24" s="507"/>
      <c r="CH24" s="83" t="s">
        <v>301</v>
      </c>
      <c r="CI24" s="507">
        <f>BQ24+BW24+CC24</f>
        <v>0</v>
      </c>
      <c r="CJ24" s="508"/>
      <c r="CK24" s="86"/>
      <c r="CL24" s="506">
        <f>DE24+DG24+DI24</f>
        <v>0</v>
      </c>
      <c r="CM24" s="507"/>
      <c r="CN24" s="83" t="s">
        <v>301</v>
      </c>
      <c r="CO24" s="507">
        <f>DF24+DH24+DJ24</f>
        <v>0</v>
      </c>
      <c r="CP24" s="508"/>
      <c r="CQ24" s="86"/>
      <c r="CR24" s="506">
        <f>IF(CL24=2,1,0)</f>
        <v>0</v>
      </c>
      <c r="CS24" s="507"/>
      <c r="CT24" s="83" t="s">
        <v>301</v>
      </c>
      <c r="CU24" s="507">
        <f>IF(CO24=2,1,0)</f>
        <v>0</v>
      </c>
      <c r="CV24" s="508"/>
      <c r="CX24" s="509" t="str">
        <f>IF(DK24&gt;1,0,"!")</f>
        <v>!</v>
      </c>
      <c r="CY24" s="510"/>
      <c r="CZ24" s="511"/>
      <c r="DB24" s="1">
        <f>IF(A24&gt;0,1,0)</f>
        <v>0</v>
      </c>
      <c r="DC24" s="1">
        <f>IF(X24&gt;0,1,0)</f>
        <v>0</v>
      </c>
      <c r="DD24" s="1">
        <f>IF(BA24&gt;0,1,0)</f>
        <v>0</v>
      </c>
      <c r="DE24" s="1">
        <f>IF(BN24&gt;BQ24,1,0)</f>
        <v>0</v>
      </c>
      <c r="DF24" s="1">
        <f>IF(BQ24&gt;BN24,1,0)</f>
        <v>0</v>
      </c>
      <c r="DG24" s="1">
        <f>IF(BT24&gt;BW24,1,0)</f>
        <v>0</v>
      </c>
      <c r="DH24" s="1">
        <f>IF(BW24&gt;BT24,1,0)</f>
        <v>0</v>
      </c>
      <c r="DI24" s="1">
        <f>IF(BZ24&gt;CC24,1,0)</f>
        <v>0</v>
      </c>
      <c r="DJ24" s="1">
        <f>IF(CC24&gt;BZ24,1,0)</f>
        <v>0</v>
      </c>
      <c r="DK24" s="1">
        <f>IF(A24=0,0,DJ24+DI24+DH24+DG24+DF24+DE24)</f>
        <v>0</v>
      </c>
      <c r="DL24">
        <f>DE24+DF24+DG24+DH24+DI24+DJ24</f>
        <v>0</v>
      </c>
      <c r="DM24">
        <f>IF(CX24=0,1,0)</f>
        <v>0</v>
      </c>
      <c r="DN24">
        <v>1</v>
      </c>
      <c r="DP24">
        <f>CF24+CI24</f>
        <v>0</v>
      </c>
      <c r="DR24" s="453" t="str">
        <f>IF(DM35=30,"Spielbericht vollständig","es fehlt noch was")</f>
        <v>es fehlt noch was</v>
      </c>
      <c r="DS24" s="454"/>
      <c r="DT24" s="454"/>
      <c r="DU24" s="455"/>
    </row>
    <row r="25" spans="1:125" ht="7.5" customHeight="1" x14ac:dyDescent="0.25">
      <c r="BN25" s="87"/>
      <c r="BO25" s="87"/>
      <c r="BP25" s="87"/>
      <c r="BQ25" s="87"/>
      <c r="BR25" s="87"/>
      <c r="BS25" s="87"/>
      <c r="BT25" s="87"/>
      <c r="BU25" s="87"/>
      <c r="BV25" s="87"/>
      <c r="BW25" s="87"/>
      <c r="BX25" s="87"/>
      <c r="BY25" s="87"/>
      <c r="BZ25" s="87"/>
      <c r="CA25" s="87"/>
      <c r="CB25" s="87"/>
      <c r="CC25" s="87"/>
      <c r="CD25" s="87"/>
      <c r="CE25" s="87"/>
      <c r="CF25" s="87"/>
      <c r="CG25" s="87"/>
      <c r="CH25" s="87"/>
      <c r="CI25" s="87"/>
      <c r="CJ25" s="87"/>
      <c r="CK25" s="87"/>
      <c r="CL25" s="87"/>
      <c r="CM25" s="87"/>
      <c r="CN25" s="87"/>
      <c r="CO25" s="87"/>
      <c r="CP25" s="87"/>
      <c r="CQ25" s="87"/>
      <c r="CR25" s="87"/>
      <c r="CS25" s="87"/>
      <c r="CT25" s="87"/>
      <c r="CU25" s="87"/>
      <c r="CV25" s="87"/>
      <c r="DR25" s="456"/>
      <c r="DS25" s="457"/>
      <c r="DT25" s="457"/>
      <c r="DU25" s="458"/>
    </row>
    <row r="26" spans="1:125" ht="15.75" x14ac:dyDescent="0.25">
      <c r="A26" s="512"/>
      <c r="B26" s="512"/>
      <c r="C26" s="512"/>
      <c r="D26" s="513" t="s">
        <v>306</v>
      </c>
      <c r="E26" s="514"/>
      <c r="F26" s="514"/>
      <c r="G26" s="514"/>
      <c r="H26" s="514"/>
      <c r="I26" s="515"/>
      <c r="J26" s="57"/>
      <c r="K26" s="501" t="e">
        <f>VLOOKUP("x",Mannschaftsaufstellung!U5:V16,2,FALSE)</f>
        <v>#N/A</v>
      </c>
      <c r="L26" s="502"/>
      <c r="M26" s="502"/>
      <c r="N26" s="502"/>
      <c r="O26" s="502"/>
      <c r="P26" s="502"/>
      <c r="Q26" s="502"/>
      <c r="R26" s="502"/>
      <c r="S26" s="502"/>
      <c r="T26" s="502"/>
      <c r="U26" s="502"/>
      <c r="V26" s="502"/>
      <c r="W26" s="502"/>
      <c r="X26" s="503"/>
      <c r="Y26" s="503"/>
      <c r="Z26" s="503"/>
      <c r="AA26" s="503"/>
      <c r="AB26" s="503"/>
      <c r="AC26" s="503"/>
      <c r="AD26" s="503"/>
      <c r="AE26" s="503"/>
      <c r="AF26" s="503"/>
      <c r="AG26" s="503"/>
      <c r="AH26" s="503"/>
      <c r="AI26" s="504"/>
      <c r="AJ26" s="84"/>
      <c r="AK26" s="505" t="s">
        <v>201</v>
      </c>
      <c r="AL26" s="505"/>
      <c r="AM26" s="84"/>
      <c r="AN26" s="501" t="e">
        <f>VLOOKUP("x",Mannschaftsaufstellung!U38:V49,2,FALSE)</f>
        <v>#N/A</v>
      </c>
      <c r="AO26" s="502"/>
      <c r="AP26" s="502"/>
      <c r="AQ26" s="502"/>
      <c r="AR26" s="502"/>
      <c r="AS26" s="502"/>
      <c r="AT26" s="502"/>
      <c r="AU26" s="502"/>
      <c r="AV26" s="502"/>
      <c r="AW26" s="502"/>
      <c r="AX26" s="502"/>
      <c r="AY26" s="502"/>
      <c r="AZ26" s="502"/>
      <c r="BA26" s="503"/>
      <c r="BB26" s="503"/>
      <c r="BC26" s="503"/>
      <c r="BD26" s="503"/>
      <c r="BE26" s="503"/>
      <c r="BF26" s="503"/>
      <c r="BG26" s="503"/>
      <c r="BH26" s="503"/>
      <c r="BI26" s="503"/>
      <c r="BJ26" s="503"/>
      <c r="BK26" s="503"/>
      <c r="BL26" s="504"/>
      <c r="BM26" s="57"/>
      <c r="BN26" s="516"/>
      <c r="BO26" s="517"/>
      <c r="BP26" s="83" t="s">
        <v>301</v>
      </c>
      <c r="BQ26" s="517"/>
      <c r="BR26" s="518"/>
      <c r="BS26" s="85"/>
      <c r="BT26" s="516"/>
      <c r="BU26" s="517"/>
      <c r="BV26" s="83" t="s">
        <v>301</v>
      </c>
      <c r="BW26" s="517"/>
      <c r="BX26" s="518"/>
      <c r="BY26" s="85"/>
      <c r="BZ26" s="516"/>
      <c r="CA26" s="517"/>
      <c r="CB26" s="83" t="s">
        <v>301</v>
      </c>
      <c r="CC26" s="517"/>
      <c r="CD26" s="518"/>
      <c r="CE26" s="85"/>
      <c r="CF26" s="506">
        <f>BN26+BT26+BZ26</f>
        <v>0</v>
      </c>
      <c r="CG26" s="507"/>
      <c r="CH26" s="83" t="s">
        <v>301</v>
      </c>
      <c r="CI26" s="507">
        <f>BQ26+BW26+CC26</f>
        <v>0</v>
      </c>
      <c r="CJ26" s="508"/>
      <c r="CK26" s="86"/>
      <c r="CL26" s="506">
        <f>DE26+DG26+DI26</f>
        <v>0</v>
      </c>
      <c r="CM26" s="507"/>
      <c r="CN26" s="83" t="s">
        <v>301</v>
      </c>
      <c r="CO26" s="507">
        <f>DF26+DH26+DJ26</f>
        <v>0</v>
      </c>
      <c r="CP26" s="508"/>
      <c r="CQ26" s="86"/>
      <c r="CR26" s="506">
        <f>IF(CL26=2,1,0)</f>
        <v>0</v>
      </c>
      <c r="CS26" s="507"/>
      <c r="CT26" s="83" t="s">
        <v>301</v>
      </c>
      <c r="CU26" s="507">
        <f>IF(CO26=2,1,0)</f>
        <v>0</v>
      </c>
      <c r="CV26" s="508"/>
      <c r="CX26" s="509" t="str">
        <f>IF(DK26&gt;1,0,"!")</f>
        <v>!</v>
      </c>
      <c r="CY26" s="510"/>
      <c r="CZ26" s="511"/>
      <c r="DB26" s="1">
        <f>IF(A26&gt;0,1,0)</f>
        <v>0</v>
      </c>
      <c r="DC26" s="1">
        <f>IF(X26&gt;0,1,0)</f>
        <v>0</v>
      </c>
      <c r="DD26" s="1">
        <f>IF(BA26&gt;0,1,0)</f>
        <v>0</v>
      </c>
      <c r="DE26" s="1">
        <f>IF(BN26&gt;BQ26,1,0)</f>
        <v>0</v>
      </c>
      <c r="DF26" s="1">
        <f>IF(BQ26&gt;BN26,1,0)</f>
        <v>0</v>
      </c>
      <c r="DG26" s="1">
        <f>IF(BT26&gt;BW26,1,0)</f>
        <v>0</v>
      </c>
      <c r="DH26" s="1">
        <f>IF(BW26&gt;BT26,1,0)</f>
        <v>0</v>
      </c>
      <c r="DI26" s="1">
        <f>IF(BZ26&gt;CC26,1,0)</f>
        <v>0</v>
      </c>
      <c r="DJ26" s="1">
        <f>IF(CC26&gt;BZ26,1,0)</f>
        <v>0</v>
      </c>
      <c r="DK26" s="1">
        <f>IF(A26=0,0,DJ26+DI26+DH26+DG26+DF26+DE26)</f>
        <v>0</v>
      </c>
      <c r="DL26">
        <f>DE26+DF26+DG26+DH26+DI26+DJ26</f>
        <v>0</v>
      </c>
      <c r="DM26">
        <f>IF(CX26=0,1,0)</f>
        <v>0</v>
      </c>
      <c r="DN26">
        <v>1</v>
      </c>
      <c r="DP26">
        <f>CF26+CI26</f>
        <v>0</v>
      </c>
      <c r="DR26" s="459"/>
      <c r="DS26" s="460"/>
      <c r="DT26" s="460"/>
      <c r="DU26" s="461"/>
    </row>
    <row r="27" spans="1:125" ht="7.5" customHeight="1" x14ac:dyDescent="0.25"/>
    <row r="28" spans="1:125" x14ac:dyDescent="0.25">
      <c r="A28" s="525" t="s">
        <v>313</v>
      </c>
      <c r="B28" s="525"/>
      <c r="C28" s="525"/>
      <c r="D28" s="525"/>
      <c r="E28" s="525"/>
      <c r="F28" s="525"/>
      <c r="G28" s="525"/>
      <c r="H28" s="525"/>
      <c r="I28" s="525"/>
      <c r="K28" s="526"/>
      <c r="L28" s="527"/>
      <c r="M28" s="527"/>
      <c r="N28" s="527"/>
      <c r="O28" s="527"/>
      <c r="P28" s="527"/>
      <c r="Q28" s="527"/>
      <c r="R28" s="527"/>
      <c r="S28" s="527"/>
      <c r="AR28" s="523" t="s">
        <v>312</v>
      </c>
      <c r="AS28" s="523"/>
      <c r="AT28" s="523"/>
      <c r="AU28" s="523"/>
      <c r="AV28" s="523"/>
      <c r="AW28" s="523"/>
      <c r="AY28" s="524" t="str">
        <f>IF(DP28=0,"",IF(CR28&gt;4,P6,IF(CU28&gt;4,AS6,IF(DX1=8,"Unentschieden",""))))</f>
        <v/>
      </c>
      <c r="AZ28" s="524"/>
      <c r="BA28" s="524"/>
      <c r="BB28" s="524"/>
      <c r="BC28" s="524"/>
      <c r="BD28" s="524"/>
      <c r="BE28" s="524"/>
      <c r="BF28" s="524"/>
      <c r="BG28" s="524"/>
      <c r="BH28" s="524"/>
      <c r="BI28" s="524"/>
      <c r="BJ28" s="524"/>
      <c r="BK28" s="524"/>
      <c r="BL28" s="524"/>
      <c r="BM28" s="524"/>
      <c r="BN28" s="524"/>
      <c r="BO28" s="524"/>
      <c r="BP28" s="524"/>
      <c r="BQ28" s="524"/>
      <c r="BR28" s="524"/>
      <c r="BS28" s="524"/>
      <c r="BT28" s="524"/>
      <c r="BV28" s="523" t="s">
        <v>311</v>
      </c>
      <c r="BW28" s="523"/>
      <c r="BX28" s="523"/>
      <c r="BY28" s="523"/>
      <c r="BZ28" s="523"/>
      <c r="CA28" s="523"/>
      <c r="CB28" s="523"/>
      <c r="CC28" s="523"/>
      <c r="CD28" s="523"/>
      <c r="CF28" s="519" t="str">
        <f>IF(DB31 = 0, ":",DB31 &amp; " : " &amp; DC31)</f>
        <v>:</v>
      </c>
      <c r="CG28" s="520"/>
      <c r="CH28" s="520"/>
      <c r="CI28" s="520"/>
      <c r="CJ28" s="521"/>
      <c r="CL28" s="506" t="str">
        <f>IF(DP28=0,"",SUM(CL8:CM26))</f>
        <v/>
      </c>
      <c r="CM28" s="507"/>
      <c r="CN28" s="83" t="s">
        <v>301</v>
      </c>
      <c r="CO28" s="507" t="str">
        <f>IF(DP28=0,"",SUM(CO8:CP26))</f>
        <v/>
      </c>
      <c r="CP28" s="508"/>
      <c r="CR28" s="506" t="str">
        <f>IF(DP28=0,"",SUM(CR8:CS26))</f>
        <v/>
      </c>
      <c r="CS28" s="507"/>
      <c r="CT28" s="83" t="s">
        <v>301</v>
      </c>
      <c r="CU28" s="507" t="str">
        <f>IF(DP28=0,"",SUM(CU8:CV26))</f>
        <v/>
      </c>
      <c r="CV28" s="508"/>
      <c r="DB28">
        <f>SUM(DB8:DB26)</f>
        <v>0</v>
      </c>
      <c r="DC28">
        <v>8</v>
      </c>
      <c r="DM28">
        <f>IF(K28&gt;0,1,0)</f>
        <v>0</v>
      </c>
      <c r="DN28">
        <v>1</v>
      </c>
      <c r="DP28">
        <f>DP8+DP11+DP14+DP17+DP19+DP21+DP24+DP26</f>
        <v>0</v>
      </c>
    </row>
    <row r="29" spans="1:125" ht="3.75" customHeight="1" x14ac:dyDescent="0.25">
      <c r="DB29" s="208">
        <f>IF(DB28=DC28,20,0)</f>
        <v>0</v>
      </c>
      <c r="DC29" s="208"/>
    </row>
    <row r="30" spans="1:125" x14ac:dyDescent="0.25">
      <c r="A30" s="522" t="s">
        <v>314</v>
      </c>
      <c r="B30" s="522"/>
      <c r="C30" s="522"/>
      <c r="D30" s="522"/>
      <c r="E30" s="522"/>
      <c r="F30" s="522"/>
      <c r="G30" s="522"/>
      <c r="H30" s="522"/>
      <c r="I30" s="522"/>
      <c r="J30" s="522"/>
      <c r="K30" s="522"/>
      <c r="L30" s="522"/>
      <c r="M30" s="522"/>
      <c r="N30" s="522"/>
      <c r="O30" s="522"/>
      <c r="P30" s="522"/>
      <c r="Q30" s="522"/>
      <c r="R30" s="522"/>
      <c r="S30" s="522"/>
      <c r="T30" s="522"/>
      <c r="U30" s="522"/>
      <c r="V30" s="522"/>
      <c r="W30" s="522"/>
      <c r="X30" s="522"/>
      <c r="Y30" s="522"/>
      <c r="Z30" s="522"/>
      <c r="AA30" s="522"/>
      <c r="AB30" s="522"/>
      <c r="AC30" s="522"/>
      <c r="AD30" s="522"/>
      <c r="AE30" s="522"/>
      <c r="AF30" s="522"/>
      <c r="AG30" s="522"/>
      <c r="AH30" s="522"/>
      <c r="AI30" s="522"/>
      <c r="AJ30" s="522"/>
      <c r="AK30" s="522"/>
      <c r="AL30" s="522"/>
      <c r="AM30" s="522"/>
      <c r="AN30" s="522"/>
      <c r="AO30" s="522"/>
      <c r="AP30" s="522"/>
      <c r="AQ30" s="522"/>
      <c r="AR30" s="522"/>
      <c r="AS30" s="522"/>
      <c r="AT30" s="522"/>
      <c r="AU30" s="522"/>
      <c r="AV30" s="522"/>
      <c r="AW30" s="522"/>
      <c r="AX30" s="522"/>
      <c r="AY30" s="522"/>
      <c r="AZ30" s="522"/>
      <c r="BA30" s="522"/>
      <c r="BB30" s="522"/>
      <c r="BC30" s="522"/>
      <c r="BD30" s="522"/>
      <c r="BE30" s="522"/>
      <c r="BF30" s="522"/>
      <c r="BG30" s="522"/>
      <c r="BH30" s="522"/>
      <c r="BI30" s="522"/>
      <c r="BJ30" s="522"/>
      <c r="BK30" s="522"/>
      <c r="BL30" s="522"/>
      <c r="BM30" s="522"/>
      <c r="BN30" s="522"/>
      <c r="BO30" s="522"/>
      <c r="BP30" s="522"/>
      <c r="BQ30" s="522"/>
      <c r="BR30" s="522"/>
      <c r="BS30" s="522"/>
      <c r="BT30" s="522"/>
      <c r="BU30" s="522"/>
      <c r="BV30" s="522"/>
      <c r="BW30" s="522"/>
      <c r="BX30" s="522"/>
      <c r="BY30" s="522"/>
      <c r="BZ30" s="522"/>
      <c r="CA30" s="522"/>
      <c r="CB30" s="522"/>
      <c r="CC30" s="522"/>
      <c r="CD30" s="522"/>
      <c r="CE30" s="522"/>
      <c r="CF30" s="522"/>
      <c r="CG30" s="522"/>
      <c r="CH30" s="522"/>
      <c r="CI30" s="522"/>
      <c r="CJ30" s="522"/>
      <c r="CK30" s="522"/>
      <c r="CL30" s="522"/>
      <c r="CM30" s="522"/>
      <c r="CN30" s="522"/>
      <c r="CO30" s="522"/>
      <c r="CP30" s="522"/>
      <c r="CQ30" s="522"/>
      <c r="CR30" s="522"/>
      <c r="CS30" s="522"/>
      <c r="CT30" s="522"/>
      <c r="CU30" s="522"/>
      <c r="CV30" s="522"/>
    </row>
    <row r="31" spans="1:125" ht="3.75" customHeight="1" x14ac:dyDescent="0.25">
      <c r="DB31" s="1">
        <f>SUM(CF8:CG26)</f>
        <v>0</v>
      </c>
      <c r="DC31" s="1">
        <f>SUM(CI8:CJ26)</f>
        <v>0</v>
      </c>
    </row>
    <row r="32" spans="1:125" x14ac:dyDescent="0.25">
      <c r="A32" t="s">
        <v>317</v>
      </c>
      <c r="Y32" s="462" t="str">
        <f>IF(Mindestanforderungen!S12=1,"X","")</f>
        <v/>
      </c>
      <c r="Z32" s="464"/>
      <c r="AB32" s="208" t="s">
        <v>318</v>
      </c>
      <c r="AC32" s="208"/>
      <c r="AD32" s="208"/>
      <c r="AE32" s="208"/>
      <c r="AF32" s="208"/>
      <c r="AI32" s="462" t="str">
        <f>IF(Mindestanforderungen!S13=1,"X","")</f>
        <v/>
      </c>
      <c r="AJ32" s="464"/>
      <c r="AL32" s="208" t="s">
        <v>319</v>
      </c>
      <c r="AM32" s="208"/>
      <c r="AN32" s="208"/>
      <c r="AO32" s="208"/>
      <c r="AP32" s="208"/>
      <c r="AQ32" s="208"/>
      <c r="AR32" s="208"/>
      <c r="AS32" s="208"/>
      <c r="AT32" s="208"/>
      <c r="AU32" s="208"/>
      <c r="AV32" s="208"/>
      <c r="AW32" s="208"/>
      <c r="AX32" s="208"/>
      <c r="AY32" s="208"/>
      <c r="AZ32" s="208"/>
      <c r="BA32" s="208"/>
      <c r="BB32" s="208"/>
      <c r="BC32" s="208"/>
      <c r="DM32">
        <f>IF(Y32="X",1,IF(AI32="X",1,0))</f>
        <v>0</v>
      </c>
      <c r="DN32">
        <v>1</v>
      </c>
    </row>
    <row r="33" spans="1:128" ht="3.75" customHeight="1" x14ac:dyDescent="0.25"/>
    <row r="34" spans="1:128" x14ac:dyDescent="0.25">
      <c r="A34" s="531" t="s">
        <v>321</v>
      </c>
      <c r="B34" s="532"/>
      <c r="C34" s="532"/>
      <c r="D34" s="532"/>
      <c r="E34" s="532"/>
      <c r="F34" s="532"/>
      <c r="G34" s="532"/>
      <c r="H34" s="532"/>
      <c r="I34" s="532"/>
      <c r="J34" s="532"/>
      <c r="K34" s="532"/>
      <c r="L34" s="532"/>
      <c r="M34" s="532"/>
      <c r="N34" s="532"/>
      <c r="O34" s="532"/>
      <c r="P34" s="532"/>
      <c r="Q34" s="532"/>
      <c r="R34" s="532"/>
      <c r="S34" s="532"/>
      <c r="T34" s="532"/>
      <c r="U34" s="532"/>
      <c r="V34" s="533"/>
      <c r="W34" s="558"/>
      <c r="X34" s="559"/>
      <c r="Y34" s="559"/>
      <c r="Z34" s="559"/>
      <c r="AA34" s="559"/>
      <c r="AB34" s="559"/>
      <c r="AC34" s="559"/>
      <c r="AD34" s="559"/>
      <c r="AE34" s="559"/>
      <c r="AF34" s="559"/>
      <c r="AG34" s="559"/>
      <c r="AH34" s="559"/>
      <c r="AI34" s="559"/>
      <c r="AJ34" s="559"/>
      <c r="AK34" s="559"/>
      <c r="AL34" s="559"/>
      <c r="AM34" s="559"/>
      <c r="AN34" s="559"/>
      <c r="AO34" s="559"/>
      <c r="AP34" s="559"/>
      <c r="AQ34" s="559"/>
      <c r="AR34" s="559"/>
      <c r="AS34" s="559"/>
      <c r="AT34" s="559"/>
      <c r="AU34" s="559"/>
      <c r="AV34" s="559"/>
      <c r="AW34" s="559"/>
      <c r="AX34" s="559"/>
      <c r="AY34" s="559"/>
      <c r="AZ34" s="559"/>
      <c r="BA34" s="559"/>
      <c r="BB34" s="559"/>
      <c r="BC34" s="559"/>
      <c r="BD34" s="559"/>
      <c r="BE34" s="559"/>
      <c r="BF34" s="559"/>
      <c r="BG34" s="559"/>
      <c r="BH34" s="559"/>
      <c r="BI34" s="559"/>
      <c r="BJ34" s="559"/>
      <c r="BK34" s="559"/>
      <c r="BL34" s="559"/>
      <c r="BM34" s="559"/>
      <c r="BN34" s="559"/>
      <c r="BO34" s="559"/>
      <c r="BP34" s="559"/>
      <c r="BQ34" s="559"/>
      <c r="BR34" s="559"/>
      <c r="BS34" s="559"/>
      <c r="BT34" s="559"/>
      <c r="BU34" s="559"/>
      <c r="BV34" s="559"/>
      <c r="BW34" s="559"/>
      <c r="BX34" s="559"/>
      <c r="BY34" s="559"/>
      <c r="BZ34" s="559"/>
      <c r="CA34" s="559"/>
      <c r="CB34" s="559"/>
      <c r="CC34" s="559"/>
      <c r="CD34" s="559"/>
      <c r="CE34" s="559"/>
      <c r="CF34" s="559"/>
      <c r="CG34" s="559"/>
      <c r="CH34" s="559"/>
      <c r="CI34" s="559"/>
      <c r="CJ34" s="559"/>
      <c r="CK34" s="559"/>
      <c r="CL34" s="559"/>
      <c r="CM34" s="559"/>
      <c r="CN34" s="559"/>
      <c r="CO34" s="559"/>
      <c r="CP34" s="559"/>
      <c r="CQ34" s="559"/>
      <c r="CR34" s="559"/>
      <c r="CS34" s="559"/>
      <c r="CT34" s="559"/>
      <c r="CU34" s="559"/>
      <c r="CV34" s="560"/>
      <c r="DM34">
        <f>SUM(DM4:DM32)</f>
        <v>0</v>
      </c>
      <c r="DN34">
        <f>SUM(DN4:DN32)</f>
        <v>11</v>
      </c>
    </row>
    <row r="35" spans="1:128" x14ac:dyDescent="0.25">
      <c r="A35" s="534"/>
      <c r="B35" s="535"/>
      <c r="C35" s="535"/>
      <c r="D35" s="535"/>
      <c r="E35" s="535"/>
      <c r="F35" s="535"/>
      <c r="G35" s="535"/>
      <c r="H35" s="535"/>
      <c r="I35" s="535"/>
      <c r="J35" s="535"/>
      <c r="K35" s="535"/>
      <c r="L35" s="535"/>
      <c r="M35" s="535"/>
      <c r="N35" s="535"/>
      <c r="O35" s="535"/>
      <c r="P35" s="535"/>
      <c r="Q35" s="535"/>
      <c r="R35" s="535"/>
      <c r="S35" s="535"/>
      <c r="T35" s="535"/>
      <c r="U35" s="535"/>
      <c r="V35" s="536"/>
      <c r="W35" s="561"/>
      <c r="X35" s="562"/>
      <c r="Y35" s="562"/>
      <c r="Z35" s="562"/>
      <c r="AA35" s="562"/>
      <c r="AB35" s="562"/>
      <c r="AC35" s="562"/>
      <c r="AD35" s="562"/>
      <c r="AE35" s="562"/>
      <c r="AF35" s="562"/>
      <c r="AG35" s="562"/>
      <c r="AH35" s="562"/>
      <c r="AI35" s="562"/>
      <c r="AJ35" s="562"/>
      <c r="AK35" s="562"/>
      <c r="AL35" s="562"/>
      <c r="AM35" s="562"/>
      <c r="AN35" s="562"/>
      <c r="AO35" s="562"/>
      <c r="AP35" s="562"/>
      <c r="AQ35" s="562"/>
      <c r="AR35" s="562"/>
      <c r="AS35" s="562"/>
      <c r="AT35" s="562"/>
      <c r="AU35" s="562"/>
      <c r="AV35" s="562"/>
      <c r="AW35" s="562"/>
      <c r="AX35" s="562"/>
      <c r="AY35" s="562"/>
      <c r="AZ35" s="562"/>
      <c r="BA35" s="562"/>
      <c r="BB35" s="562"/>
      <c r="BC35" s="562"/>
      <c r="BD35" s="562"/>
      <c r="BE35" s="562"/>
      <c r="BF35" s="562"/>
      <c r="BG35" s="562"/>
      <c r="BH35" s="562"/>
      <c r="BI35" s="562"/>
      <c r="BJ35" s="562"/>
      <c r="BK35" s="562"/>
      <c r="BL35" s="562"/>
      <c r="BM35" s="562"/>
      <c r="BN35" s="562"/>
      <c r="BO35" s="562"/>
      <c r="BP35" s="562"/>
      <c r="BQ35" s="562"/>
      <c r="BR35" s="562"/>
      <c r="BS35" s="562"/>
      <c r="BT35" s="562"/>
      <c r="BU35" s="562"/>
      <c r="BV35" s="562"/>
      <c r="BW35" s="562"/>
      <c r="BX35" s="562"/>
      <c r="BY35" s="562"/>
      <c r="BZ35" s="562"/>
      <c r="CA35" s="562"/>
      <c r="CB35" s="562"/>
      <c r="CC35" s="562"/>
      <c r="CD35" s="562"/>
      <c r="CE35" s="562"/>
      <c r="CF35" s="562"/>
      <c r="CG35" s="562"/>
      <c r="CH35" s="562"/>
      <c r="CI35" s="562"/>
      <c r="CJ35" s="562"/>
      <c r="CK35" s="562"/>
      <c r="CL35" s="562"/>
      <c r="CM35" s="562"/>
      <c r="CN35" s="562"/>
      <c r="CO35" s="562"/>
      <c r="CP35" s="562"/>
      <c r="CQ35" s="562"/>
      <c r="CR35" s="562"/>
      <c r="CS35" s="562"/>
      <c r="CT35" s="562"/>
      <c r="CU35" s="562"/>
      <c r="CV35" s="563"/>
      <c r="DM35" s="208">
        <f>IF(DM34=DN34,30,0)</f>
        <v>0</v>
      </c>
      <c r="DN35" s="208"/>
    </row>
    <row r="36" spans="1:128" ht="15" customHeight="1" x14ac:dyDescent="0.25">
      <c r="A36" s="531" t="s">
        <v>322</v>
      </c>
      <c r="B36" s="532"/>
      <c r="C36" s="532"/>
      <c r="D36" s="532"/>
      <c r="E36" s="532"/>
      <c r="F36" s="532"/>
      <c r="G36" s="532"/>
      <c r="H36" s="532"/>
      <c r="I36" s="532"/>
      <c r="J36" s="532"/>
      <c r="K36" s="532"/>
      <c r="L36" s="532"/>
      <c r="M36" s="532"/>
      <c r="N36" s="532"/>
      <c r="O36" s="532"/>
      <c r="P36" s="532"/>
      <c r="Q36" s="532"/>
      <c r="R36" s="532"/>
      <c r="S36" s="532"/>
      <c r="T36" s="532"/>
      <c r="U36" s="532"/>
      <c r="V36" s="533"/>
      <c r="W36" s="537" t="str">
        <f>P6 &amp; ": "&amp;Mannschaftsaufstellung!AG5&amp;Mannschaftsaufstellung!AH5&amp;Mannschaftsaufstellung!AG6&amp;Mannschaftsaufstellung!AH6&amp;Mannschaftsaufstellung!AG7&amp;Mannschaftsaufstellung!AH7&amp;Mannschaftsaufstellung!AG8&amp;Mannschaftsaufstellung!AH8&amp;Mannschaftsaufstellung!AG9&amp;Mannschaftsaufstellung!AH9&amp;Mannschaftsaufstellung!AG10&amp;Mannschaftsaufstellung!AH10&amp;Mannschaftsaufstellung!AG11&amp;Mannschaftsaufstellung!AH11&amp;Mannschaftsaufstellung!AG12&amp;Mannschaftsaufstellung!AH12&amp;Mannschaftsaufstellung!AG13&amp;Mannschaftsaufstellung!AH13&amp;Mannschaftsaufstellung!AG14&amp;Mannschaftsaufstellung!AH14&amp;Mannschaftsaufstellung!AG15&amp;Mannschaftsaufstellung!AH15&amp;Mannschaftsaufstellung!AG16&amp;Mannschaftsaufstellung!AH16&amp;Mannschaftsaufstellung!AG17&amp;Mannschaftsaufstellung!AH17&amp;Mannschaftsaufstellung!AG18&amp;Mannschaftsaufstellung!AH18&amp;Mannschaftsaufstellung!AG19&amp;Mannschaftsaufstellung!AH19&amp;Mannschaftsaufstellung!AG20&amp;Mannschaftsaufstellung!AH20&amp;Mannschaftsaufstellung!AG21&amp;Mannschaftsaufstellung!AH21&amp;Mannschaftsaufstellung!AG22&amp;Mannschaftsaufstellung!AH22&amp;Mannschaftsaufstellung!AG23&amp;Mannschaftsaufstellung!AH23&amp;Mannschaftsaufstellung!AG24&amp;Mannschaftsaufstellung!AH24&amp;Mannschaftsaufstellung!AG25&amp;Mannschaftsaufstellung!AH25&amp;Mannschaftsaufstellung!AG26&amp;Mannschaftsaufstellung!AH26&amp;Mannschaftsaufstellung!AG27&amp;Mannschaftsaufstellung!AH27&amp;Mannschaftsaufstellung!AG28</f>
        <v xml:space="preserve">0: </v>
      </c>
      <c r="X36" s="538"/>
      <c r="Y36" s="538"/>
      <c r="Z36" s="538"/>
      <c r="AA36" s="538"/>
      <c r="AB36" s="538"/>
      <c r="AC36" s="538"/>
      <c r="AD36" s="538"/>
      <c r="AE36" s="538"/>
      <c r="AF36" s="538"/>
      <c r="AG36" s="538"/>
      <c r="AH36" s="538"/>
      <c r="AI36" s="538"/>
      <c r="AJ36" s="538"/>
      <c r="AK36" s="538"/>
      <c r="AL36" s="538"/>
      <c r="AM36" s="538"/>
      <c r="AN36" s="538"/>
      <c r="AO36" s="538"/>
      <c r="AP36" s="538"/>
      <c r="AQ36" s="538"/>
      <c r="AR36" s="538"/>
      <c r="AS36" s="538"/>
      <c r="AT36" s="538"/>
      <c r="AU36" s="538"/>
      <c r="AV36" s="538"/>
      <c r="AW36" s="538"/>
      <c r="AX36" s="538"/>
      <c r="AY36" s="538"/>
      <c r="AZ36" s="538"/>
      <c r="BA36" s="538"/>
      <c r="BB36" s="538"/>
      <c r="BC36" s="538"/>
      <c r="BD36" s="538"/>
      <c r="BE36" s="538"/>
      <c r="BF36" s="538"/>
      <c r="BG36" s="538"/>
      <c r="BH36" s="538"/>
      <c r="BI36" s="539"/>
      <c r="BJ36" s="546" t="str">
        <f>AS6 &amp; ": "&amp;Mannschaftsaufstellung!AG38&amp;Mannschaftsaufstellung!AH38&amp;Mannschaftsaufstellung!AG39&amp;Mannschaftsaufstellung!AH39&amp;Mannschaftsaufstellung!AG40&amp;Mannschaftsaufstellung!AH40&amp;Mannschaftsaufstellung!AG41&amp;Mannschaftsaufstellung!AH41&amp;Mannschaftsaufstellung!AG42&amp;Mannschaftsaufstellung!AH42&amp;Mannschaftsaufstellung!AG43&amp;Mannschaftsaufstellung!AH43&amp;Mannschaftsaufstellung!AG44&amp;Mannschaftsaufstellung!AH44&amp;Mannschaftsaufstellung!AG45&amp;Mannschaftsaufstellung!AH45&amp;Mannschaftsaufstellung!AG46&amp;Mannschaftsaufstellung!AH46&amp;Mannschaftsaufstellung!AG47&amp;Mannschaftsaufstellung!AH47&amp;Mannschaftsaufstellung!AG48&amp;Mannschaftsaufstellung!AH48&amp;Mannschaftsaufstellung!AG49&amp;Mannschaftsaufstellung!AH49&amp;Mannschaftsaufstellung!AG50&amp;Mannschaftsaufstellung!AH50&amp;Mannschaftsaufstellung!AG51&amp;Mannschaftsaufstellung!AH51&amp;Mannschaftsaufstellung!AG52&amp;Mannschaftsaufstellung!AH52&amp;Mannschaftsaufstellung!AG53&amp;Mannschaftsaufstellung!AH53&amp;Mannschaftsaufstellung!AG54&amp;Mannschaftsaufstellung!AH54&amp;Mannschaftsaufstellung!AG55&amp;Mannschaftsaufstellung!AH55&amp;Mannschaftsaufstellung!AG56&amp;Mannschaftsaufstellung!AH56&amp;Mannschaftsaufstellung!AG57&amp;Mannschaftsaufstellung!AH57&amp;Mannschaftsaufstellung!AG58&amp;Mannschaftsaufstellung!AH58&amp;Mannschaftsaufstellung!AG59&amp;Mannschaftsaufstellung!AH59&amp;Mannschaftsaufstellung!AG60&amp;Mannschaftsaufstellung!AH60&amp;Mannschaftsaufstellung!AG61&amp;Mannschaftsaufstellung!AH61</f>
        <v xml:space="preserve">0: </v>
      </c>
      <c r="BK36" s="547"/>
      <c r="BL36" s="547"/>
      <c r="BM36" s="547"/>
      <c r="BN36" s="547"/>
      <c r="BO36" s="547"/>
      <c r="BP36" s="547"/>
      <c r="BQ36" s="547"/>
      <c r="BR36" s="547"/>
      <c r="BS36" s="547"/>
      <c r="BT36" s="547"/>
      <c r="BU36" s="547"/>
      <c r="BV36" s="547"/>
      <c r="BW36" s="547"/>
      <c r="BX36" s="547"/>
      <c r="BY36" s="547"/>
      <c r="BZ36" s="547"/>
      <c r="CA36" s="547"/>
      <c r="CB36" s="547"/>
      <c r="CC36" s="547"/>
      <c r="CD36" s="547"/>
      <c r="CE36" s="547"/>
      <c r="CF36" s="547"/>
      <c r="CG36" s="547"/>
      <c r="CH36" s="547"/>
      <c r="CI36" s="547"/>
      <c r="CJ36" s="547"/>
      <c r="CK36" s="547"/>
      <c r="CL36" s="547"/>
      <c r="CM36" s="547"/>
      <c r="CN36" s="547"/>
      <c r="CO36" s="547"/>
      <c r="CP36" s="547"/>
      <c r="CQ36" s="547"/>
      <c r="CR36" s="547"/>
      <c r="CS36" s="547"/>
      <c r="CT36" s="547"/>
      <c r="CU36" s="547"/>
      <c r="CV36" s="548"/>
    </row>
    <row r="37" spans="1:128" ht="15" customHeight="1" x14ac:dyDescent="0.25">
      <c r="A37" s="555"/>
      <c r="B37" s="556"/>
      <c r="C37" s="556"/>
      <c r="D37" s="556"/>
      <c r="E37" s="556"/>
      <c r="F37" s="556"/>
      <c r="G37" s="556"/>
      <c r="H37" s="556"/>
      <c r="I37" s="556"/>
      <c r="J37" s="556"/>
      <c r="K37" s="556"/>
      <c r="L37" s="556"/>
      <c r="M37" s="556"/>
      <c r="N37" s="556"/>
      <c r="O37" s="556"/>
      <c r="P37" s="556"/>
      <c r="Q37" s="556"/>
      <c r="R37" s="556"/>
      <c r="S37" s="556"/>
      <c r="T37" s="556"/>
      <c r="U37" s="556"/>
      <c r="V37" s="557"/>
      <c r="W37" s="540"/>
      <c r="X37" s="541"/>
      <c r="Y37" s="541"/>
      <c r="Z37" s="541"/>
      <c r="AA37" s="541"/>
      <c r="AB37" s="541"/>
      <c r="AC37" s="541"/>
      <c r="AD37" s="541"/>
      <c r="AE37" s="541"/>
      <c r="AF37" s="541"/>
      <c r="AG37" s="541"/>
      <c r="AH37" s="541"/>
      <c r="AI37" s="541"/>
      <c r="AJ37" s="541"/>
      <c r="AK37" s="541"/>
      <c r="AL37" s="541"/>
      <c r="AM37" s="541"/>
      <c r="AN37" s="541"/>
      <c r="AO37" s="541"/>
      <c r="AP37" s="541"/>
      <c r="AQ37" s="541"/>
      <c r="AR37" s="541"/>
      <c r="AS37" s="541"/>
      <c r="AT37" s="541"/>
      <c r="AU37" s="541"/>
      <c r="AV37" s="541"/>
      <c r="AW37" s="541"/>
      <c r="AX37" s="541"/>
      <c r="AY37" s="541"/>
      <c r="AZ37" s="541"/>
      <c r="BA37" s="541"/>
      <c r="BB37" s="541"/>
      <c r="BC37" s="541"/>
      <c r="BD37" s="541"/>
      <c r="BE37" s="541"/>
      <c r="BF37" s="541"/>
      <c r="BG37" s="541"/>
      <c r="BH37" s="541"/>
      <c r="BI37" s="542"/>
      <c r="BJ37" s="549"/>
      <c r="BK37" s="550"/>
      <c r="BL37" s="550"/>
      <c r="BM37" s="550"/>
      <c r="BN37" s="550"/>
      <c r="BO37" s="550"/>
      <c r="BP37" s="550"/>
      <c r="BQ37" s="550"/>
      <c r="BR37" s="550"/>
      <c r="BS37" s="550"/>
      <c r="BT37" s="550"/>
      <c r="BU37" s="550"/>
      <c r="BV37" s="550"/>
      <c r="BW37" s="550"/>
      <c r="BX37" s="550"/>
      <c r="BY37" s="550"/>
      <c r="BZ37" s="550"/>
      <c r="CA37" s="550"/>
      <c r="CB37" s="550"/>
      <c r="CC37" s="550"/>
      <c r="CD37" s="550"/>
      <c r="CE37" s="550"/>
      <c r="CF37" s="550"/>
      <c r="CG37" s="550"/>
      <c r="CH37" s="550"/>
      <c r="CI37" s="550"/>
      <c r="CJ37" s="550"/>
      <c r="CK37" s="550"/>
      <c r="CL37" s="550"/>
      <c r="CM37" s="550"/>
      <c r="CN37" s="550"/>
      <c r="CO37" s="550"/>
      <c r="CP37" s="550"/>
      <c r="CQ37" s="550"/>
      <c r="CR37" s="550"/>
      <c r="CS37" s="550"/>
      <c r="CT37" s="550"/>
      <c r="CU37" s="550"/>
      <c r="CV37" s="551"/>
      <c r="DW37" t="str">
        <f>Mannschaftsaufstellung!A30</f>
        <v xml:space="preserve"> </v>
      </c>
      <c r="DX37" t="str">
        <f>Mannschaftsaufstellung!A63</f>
        <v>Welp Welpi</v>
      </c>
    </row>
    <row r="38" spans="1:128" x14ac:dyDescent="0.25">
      <c r="A38" s="534"/>
      <c r="B38" s="535"/>
      <c r="C38" s="535"/>
      <c r="D38" s="535"/>
      <c r="E38" s="535"/>
      <c r="F38" s="535"/>
      <c r="G38" s="535"/>
      <c r="H38" s="535"/>
      <c r="I38" s="535"/>
      <c r="J38" s="535"/>
      <c r="K38" s="535"/>
      <c r="L38" s="535"/>
      <c r="M38" s="535"/>
      <c r="N38" s="535"/>
      <c r="O38" s="535"/>
      <c r="P38" s="535"/>
      <c r="Q38" s="535"/>
      <c r="R38" s="535"/>
      <c r="S38" s="535"/>
      <c r="T38" s="535"/>
      <c r="U38" s="535"/>
      <c r="V38" s="536"/>
      <c r="W38" s="543"/>
      <c r="X38" s="544"/>
      <c r="Y38" s="544"/>
      <c r="Z38" s="544"/>
      <c r="AA38" s="544"/>
      <c r="AB38" s="544"/>
      <c r="AC38" s="544"/>
      <c r="AD38" s="544"/>
      <c r="AE38" s="544"/>
      <c r="AF38" s="544"/>
      <c r="AG38" s="544"/>
      <c r="AH38" s="544"/>
      <c r="AI38" s="544"/>
      <c r="AJ38" s="544"/>
      <c r="AK38" s="544"/>
      <c r="AL38" s="544"/>
      <c r="AM38" s="544"/>
      <c r="AN38" s="544"/>
      <c r="AO38" s="544"/>
      <c r="AP38" s="544"/>
      <c r="AQ38" s="544"/>
      <c r="AR38" s="544"/>
      <c r="AS38" s="544"/>
      <c r="AT38" s="544"/>
      <c r="AU38" s="544"/>
      <c r="AV38" s="544"/>
      <c r="AW38" s="544"/>
      <c r="AX38" s="544"/>
      <c r="AY38" s="544"/>
      <c r="AZ38" s="544"/>
      <c r="BA38" s="544"/>
      <c r="BB38" s="544"/>
      <c r="BC38" s="544"/>
      <c r="BD38" s="544"/>
      <c r="BE38" s="544"/>
      <c r="BF38" s="544"/>
      <c r="BG38" s="544"/>
      <c r="BH38" s="544"/>
      <c r="BI38" s="545"/>
      <c r="BJ38" s="552"/>
      <c r="BK38" s="553"/>
      <c r="BL38" s="553"/>
      <c r="BM38" s="553"/>
      <c r="BN38" s="553"/>
      <c r="BO38" s="553"/>
      <c r="BP38" s="553"/>
      <c r="BQ38" s="553"/>
      <c r="BR38" s="553"/>
      <c r="BS38" s="553"/>
      <c r="BT38" s="553"/>
      <c r="BU38" s="553"/>
      <c r="BV38" s="553"/>
      <c r="BW38" s="553"/>
      <c r="BX38" s="553"/>
      <c r="BY38" s="553"/>
      <c r="BZ38" s="553"/>
      <c r="CA38" s="553"/>
      <c r="CB38" s="553"/>
      <c r="CC38" s="553"/>
      <c r="CD38" s="553"/>
      <c r="CE38" s="553"/>
      <c r="CF38" s="553"/>
      <c r="CG38" s="553"/>
      <c r="CH38" s="553"/>
      <c r="CI38" s="553"/>
      <c r="CJ38" s="553"/>
      <c r="CK38" s="553"/>
      <c r="CL38" s="553"/>
      <c r="CM38" s="553"/>
      <c r="CN38" s="553"/>
      <c r="CO38" s="553"/>
      <c r="CP38" s="553"/>
      <c r="CQ38" s="553"/>
      <c r="CR38" s="553"/>
      <c r="CS38" s="553"/>
      <c r="CT38" s="553"/>
      <c r="CU38" s="553"/>
      <c r="CV38" s="554"/>
      <c r="DW38" t="str">
        <f>Mannschaftsaufstellung!A31</f>
        <v xml:space="preserve"> </v>
      </c>
      <c r="DX38" t="str">
        <f>Mannschaftsaufstellung!A64</f>
        <v xml:space="preserve"> </v>
      </c>
    </row>
    <row r="39" spans="1:128" x14ac:dyDescent="0.25">
      <c r="A39" s="531" t="s">
        <v>60</v>
      </c>
      <c r="B39" s="532"/>
      <c r="C39" s="532"/>
      <c r="D39" s="532"/>
      <c r="E39" s="532"/>
      <c r="F39" s="532"/>
      <c r="G39" s="532"/>
      <c r="H39" s="532"/>
      <c r="I39" s="532"/>
      <c r="J39" s="532"/>
      <c r="K39" s="532"/>
      <c r="L39" s="532"/>
      <c r="M39" s="532"/>
      <c r="N39" s="532"/>
      <c r="O39" s="532"/>
      <c r="P39" s="532"/>
      <c r="Q39" s="532"/>
      <c r="R39" s="532"/>
      <c r="S39" s="532"/>
      <c r="T39" s="532"/>
      <c r="U39" s="532"/>
      <c r="V39" s="533"/>
      <c r="W39" s="564" t="str">
        <f>P6 &amp; ": " &amp; Mannschaftsaufstellung!A30 &amp; Mannschaftsaufstellung!C30 &amp; Mannschaftsaufstellung!A31 &amp; Mannschaftsaufstellung!C31 &amp; Mannschaftsaufstellung!A32 &amp; Mannschaftsaufstellung!C32 &amp;Mannschaftsaufstellung!A33</f>
        <v xml:space="preserve">0:     </v>
      </c>
      <c r="X39" s="565"/>
      <c r="Y39" s="565"/>
      <c r="Z39" s="565"/>
      <c r="AA39" s="565"/>
      <c r="AB39" s="565"/>
      <c r="AC39" s="565"/>
      <c r="AD39" s="565"/>
      <c r="AE39" s="565"/>
      <c r="AF39" s="565"/>
      <c r="AG39" s="565"/>
      <c r="AH39" s="565"/>
      <c r="AI39" s="565"/>
      <c r="AJ39" s="565"/>
      <c r="AK39" s="565"/>
      <c r="AL39" s="565"/>
      <c r="AM39" s="565"/>
      <c r="AN39" s="565"/>
      <c r="AO39" s="565"/>
      <c r="AP39" s="565"/>
      <c r="AQ39" s="565"/>
      <c r="AR39" s="565"/>
      <c r="AS39" s="565"/>
      <c r="AT39" s="565"/>
      <c r="AU39" s="565"/>
      <c r="AV39" s="565"/>
      <c r="AW39" s="565"/>
      <c r="AX39" s="565"/>
      <c r="AY39" s="565"/>
      <c r="AZ39" s="565"/>
      <c r="BA39" s="565"/>
      <c r="BB39" s="565"/>
      <c r="BC39" s="565"/>
      <c r="BD39" s="565"/>
      <c r="BE39" s="565"/>
      <c r="BF39" s="565"/>
      <c r="BG39" s="565"/>
      <c r="BH39" s="565"/>
      <c r="BI39" s="566"/>
      <c r="BJ39" s="564" t="str">
        <f>AS6 &amp; ": " &amp; Mannschaftsaufstellung!A63 &amp; Mannschaftsaufstellung!C63 &amp; Mannschaftsaufstellung!A64 &amp;Mannschaftsaufstellung!C64&amp; Mannschaftsaufstellung!A65 &amp; Mannschaftsaufstellung!C65 &amp;Mannschaftsaufstellung!A66</f>
        <v xml:space="preserve">0: Welp Welpi   </v>
      </c>
      <c r="BK39" s="565"/>
      <c r="BL39" s="565"/>
      <c r="BM39" s="565"/>
      <c r="BN39" s="565"/>
      <c r="BO39" s="565"/>
      <c r="BP39" s="565"/>
      <c r="BQ39" s="565"/>
      <c r="BR39" s="565"/>
      <c r="BS39" s="565"/>
      <c r="BT39" s="565"/>
      <c r="BU39" s="565"/>
      <c r="BV39" s="565"/>
      <c r="BW39" s="565"/>
      <c r="BX39" s="565"/>
      <c r="BY39" s="565"/>
      <c r="BZ39" s="565"/>
      <c r="CA39" s="565"/>
      <c r="CB39" s="565"/>
      <c r="CC39" s="565"/>
      <c r="CD39" s="565"/>
      <c r="CE39" s="565"/>
      <c r="CF39" s="565"/>
      <c r="CG39" s="565"/>
      <c r="CH39" s="565"/>
      <c r="CI39" s="565"/>
      <c r="CJ39" s="565"/>
      <c r="CK39" s="565"/>
      <c r="CL39" s="565"/>
      <c r="CM39" s="565"/>
      <c r="CN39" s="565"/>
      <c r="CO39" s="565"/>
      <c r="CP39" s="565"/>
      <c r="CQ39" s="565"/>
      <c r="CR39" s="565"/>
      <c r="CS39" s="565"/>
      <c r="CT39" s="565"/>
      <c r="CU39" s="565"/>
      <c r="CV39" s="566"/>
      <c r="DW39" t="str">
        <f>Mannschaftsaufstellung!A32</f>
        <v xml:space="preserve"> </v>
      </c>
      <c r="DX39" t="str">
        <f>Mannschaftsaufstellung!A65</f>
        <v xml:space="preserve"> </v>
      </c>
    </row>
    <row r="40" spans="1:128" x14ac:dyDescent="0.25">
      <c r="A40" s="534"/>
      <c r="B40" s="535"/>
      <c r="C40" s="535"/>
      <c r="D40" s="535"/>
      <c r="E40" s="535"/>
      <c r="F40" s="535"/>
      <c r="G40" s="535"/>
      <c r="H40" s="535"/>
      <c r="I40" s="535"/>
      <c r="J40" s="535"/>
      <c r="K40" s="535"/>
      <c r="L40" s="535"/>
      <c r="M40" s="535"/>
      <c r="N40" s="535"/>
      <c r="O40" s="535"/>
      <c r="P40" s="535"/>
      <c r="Q40" s="535"/>
      <c r="R40" s="535"/>
      <c r="S40" s="535"/>
      <c r="T40" s="535"/>
      <c r="U40" s="535"/>
      <c r="V40" s="536"/>
      <c r="W40" s="567"/>
      <c r="X40" s="568"/>
      <c r="Y40" s="568"/>
      <c r="Z40" s="568"/>
      <c r="AA40" s="568"/>
      <c r="AB40" s="568"/>
      <c r="AC40" s="568"/>
      <c r="AD40" s="568"/>
      <c r="AE40" s="568"/>
      <c r="AF40" s="568"/>
      <c r="AG40" s="568"/>
      <c r="AH40" s="568"/>
      <c r="AI40" s="568"/>
      <c r="AJ40" s="568"/>
      <c r="AK40" s="568"/>
      <c r="AL40" s="568"/>
      <c r="AM40" s="568"/>
      <c r="AN40" s="568"/>
      <c r="AO40" s="568"/>
      <c r="AP40" s="568"/>
      <c r="AQ40" s="568"/>
      <c r="AR40" s="568"/>
      <c r="AS40" s="568"/>
      <c r="AT40" s="568"/>
      <c r="AU40" s="568"/>
      <c r="AV40" s="568"/>
      <c r="AW40" s="568"/>
      <c r="AX40" s="568"/>
      <c r="AY40" s="568"/>
      <c r="AZ40" s="568"/>
      <c r="BA40" s="568"/>
      <c r="BB40" s="568"/>
      <c r="BC40" s="568"/>
      <c r="BD40" s="568"/>
      <c r="BE40" s="568"/>
      <c r="BF40" s="568"/>
      <c r="BG40" s="568"/>
      <c r="BH40" s="568"/>
      <c r="BI40" s="569"/>
      <c r="BJ40" s="567"/>
      <c r="BK40" s="568"/>
      <c r="BL40" s="568"/>
      <c r="BM40" s="568"/>
      <c r="BN40" s="568"/>
      <c r="BO40" s="568"/>
      <c r="BP40" s="568"/>
      <c r="BQ40" s="568"/>
      <c r="BR40" s="568"/>
      <c r="BS40" s="568"/>
      <c r="BT40" s="568"/>
      <c r="BU40" s="568"/>
      <c r="BV40" s="568"/>
      <c r="BW40" s="568"/>
      <c r="BX40" s="568"/>
      <c r="BY40" s="568"/>
      <c r="BZ40" s="568"/>
      <c r="CA40" s="568"/>
      <c r="CB40" s="568"/>
      <c r="CC40" s="568"/>
      <c r="CD40" s="568"/>
      <c r="CE40" s="568"/>
      <c r="CF40" s="568"/>
      <c r="CG40" s="568"/>
      <c r="CH40" s="568"/>
      <c r="CI40" s="568"/>
      <c r="CJ40" s="568"/>
      <c r="CK40" s="568"/>
      <c r="CL40" s="568"/>
      <c r="CM40" s="568"/>
      <c r="CN40" s="568"/>
      <c r="CO40" s="568"/>
      <c r="CP40" s="568"/>
      <c r="CQ40" s="568"/>
      <c r="CR40" s="568"/>
      <c r="CS40" s="568"/>
      <c r="CT40" s="568"/>
      <c r="CU40" s="568"/>
      <c r="CV40" s="569"/>
      <c r="DW40" t="str">
        <f>Mannschaftsaufstellung!A33</f>
        <v xml:space="preserve"> </v>
      </c>
      <c r="DX40" t="str">
        <f>Mannschaftsaufstellung!A66</f>
        <v xml:space="preserve"> </v>
      </c>
    </row>
    <row r="41" spans="1:128" ht="15" customHeight="1" x14ac:dyDescent="0.25"/>
    <row r="42" spans="1:128" ht="15" customHeight="1" x14ac:dyDescent="0.25"/>
    <row r="43" spans="1:128" ht="15" customHeight="1" x14ac:dyDescent="0.25">
      <c r="A43" s="528" t="str">
        <f>Grundeinstellungen!I8&amp; ", "</f>
        <v xml:space="preserve">, </v>
      </c>
      <c r="B43" s="528"/>
      <c r="C43" s="528"/>
      <c r="D43" s="528"/>
      <c r="E43" s="528"/>
      <c r="F43" s="528"/>
      <c r="G43" s="528"/>
      <c r="H43" s="528"/>
      <c r="I43" s="528"/>
      <c r="J43" s="528"/>
      <c r="K43" s="528"/>
      <c r="L43" s="528"/>
      <c r="M43" s="528"/>
      <c r="N43" s="528"/>
      <c r="O43" s="528"/>
      <c r="P43" s="528"/>
      <c r="Q43" s="529">
        <f ca="1">TODAY()</f>
        <v>42418</v>
      </c>
      <c r="R43" s="530"/>
      <c r="S43" s="530"/>
      <c r="T43" s="530"/>
      <c r="U43" s="530"/>
      <c r="V43" s="530"/>
      <c r="W43" s="530"/>
      <c r="X43" s="530"/>
      <c r="Y43" s="4"/>
      <c r="Z43" s="4"/>
      <c r="AA43" s="4"/>
      <c r="AB43" s="4"/>
      <c r="AC43" s="4"/>
      <c r="AD43" s="4"/>
      <c r="AE43" s="4"/>
      <c r="AF43" s="4"/>
      <c r="AG43" s="4"/>
      <c r="AH43" s="4"/>
      <c r="AI43" s="4"/>
      <c r="AJ43" s="4"/>
      <c r="AK43" s="4"/>
      <c r="AL43" s="4"/>
      <c r="AM43" s="4"/>
      <c r="AN43" s="4"/>
      <c r="AO43" s="4"/>
      <c r="AP43" s="4"/>
      <c r="AQ43" s="4"/>
      <c r="AR43" s="4"/>
      <c r="AS43" s="4"/>
      <c r="AT43" s="4"/>
      <c r="AU43" s="4"/>
      <c r="AV43" s="4"/>
      <c r="AW43" s="4"/>
      <c r="AX43" s="4"/>
      <c r="AY43" s="4"/>
      <c r="AZ43" s="4"/>
      <c r="BA43" s="4"/>
      <c r="BB43" s="4"/>
      <c r="BC43" s="4"/>
      <c r="BD43" s="4"/>
      <c r="BE43" s="4"/>
      <c r="BF43" s="4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  <c r="BT43" s="4"/>
      <c r="BU43" s="4"/>
      <c r="BV43" s="4"/>
      <c r="BW43" s="4"/>
      <c r="BX43" s="4"/>
      <c r="BY43" s="4"/>
      <c r="BZ43" s="4"/>
      <c r="CA43" s="4"/>
      <c r="CB43" s="4"/>
      <c r="CC43" s="4"/>
      <c r="CD43" s="4"/>
      <c r="CE43" s="4"/>
      <c r="CF43" s="4"/>
      <c r="CG43" s="4"/>
      <c r="CH43" s="4"/>
      <c r="CI43" s="4"/>
      <c r="CJ43" s="4"/>
      <c r="CK43" s="4"/>
      <c r="CL43" s="4"/>
      <c r="CM43" s="4"/>
      <c r="CN43" s="4"/>
      <c r="CO43" s="4"/>
      <c r="CP43" s="4"/>
      <c r="CQ43" s="4"/>
      <c r="CR43" s="4"/>
      <c r="CS43" s="4"/>
      <c r="CT43" s="4"/>
      <c r="CU43" s="4"/>
      <c r="CV43" s="4"/>
    </row>
    <row r="44" spans="1:128" ht="15" customHeight="1" x14ac:dyDescent="0.25">
      <c r="Z44" s="378" t="s">
        <v>326</v>
      </c>
      <c r="AA44" s="378"/>
      <c r="AB44" s="378"/>
      <c r="AC44" s="378"/>
      <c r="AD44" s="378"/>
      <c r="AE44" s="378"/>
      <c r="AF44" s="378"/>
      <c r="AG44" s="378"/>
      <c r="AH44" s="378"/>
      <c r="AI44" s="378"/>
      <c r="AJ44" s="378"/>
      <c r="AK44" s="378"/>
      <c r="AL44" s="378"/>
      <c r="AM44" s="378"/>
      <c r="AN44" s="378"/>
      <c r="AO44" s="378"/>
      <c r="AP44" s="378"/>
      <c r="AQ44" s="378"/>
      <c r="AR44" s="378"/>
      <c r="AS44" s="378"/>
      <c r="AT44" s="378"/>
      <c r="AU44" s="378"/>
      <c r="AV44" s="378"/>
      <c r="AW44" s="378"/>
      <c r="AX44" s="378"/>
      <c r="AY44" s="378" t="s">
        <v>327</v>
      </c>
      <c r="AZ44" s="378"/>
      <c r="BA44" s="378"/>
      <c r="BB44" s="378"/>
      <c r="BC44" s="378"/>
      <c r="BD44" s="378"/>
      <c r="BE44" s="378"/>
      <c r="BF44" s="378"/>
      <c r="BG44" s="378"/>
      <c r="BH44" s="378"/>
      <c r="BI44" s="378"/>
      <c r="BJ44" s="378"/>
      <c r="BK44" s="378"/>
      <c r="BL44" s="378"/>
      <c r="BM44" s="378"/>
      <c r="BN44" s="378"/>
      <c r="BO44" s="378"/>
      <c r="BP44" s="378"/>
      <c r="BQ44" s="378"/>
      <c r="BR44" s="378"/>
      <c r="BS44" s="378"/>
      <c r="BT44" s="378"/>
      <c r="BU44" s="378"/>
      <c r="BV44" s="378"/>
      <c r="BW44" s="378"/>
      <c r="BX44" s="378" t="s">
        <v>328</v>
      </c>
      <c r="BY44" s="378"/>
      <c r="BZ44" s="378"/>
      <c r="CA44" s="378"/>
      <c r="CB44" s="378"/>
      <c r="CC44" s="378"/>
      <c r="CD44" s="378"/>
      <c r="CE44" s="378"/>
      <c r="CF44" s="378"/>
      <c r="CG44" s="378"/>
      <c r="CH44" s="378"/>
      <c r="CI44" s="378"/>
      <c r="CJ44" s="378"/>
      <c r="CK44" s="378"/>
      <c r="CL44" s="378"/>
      <c r="CM44" s="378"/>
      <c r="CN44" s="378"/>
      <c r="CO44" s="378"/>
      <c r="CP44" s="378"/>
      <c r="CQ44" s="378"/>
      <c r="CR44" s="378"/>
      <c r="CS44" s="378"/>
      <c r="CT44" s="378"/>
      <c r="CU44" s="378"/>
      <c r="CV44" s="378"/>
    </row>
  </sheetData>
  <sheetProtection sheet="1" objects="1" scenarios="1" selectLockedCells="1"/>
  <mergeCells count="270">
    <mergeCell ref="BX44:CV44"/>
    <mergeCell ref="DM35:DN35"/>
    <mergeCell ref="A43:P43"/>
    <mergeCell ref="Q43:X43"/>
    <mergeCell ref="Z44:AX44"/>
    <mergeCell ref="AY44:BW44"/>
    <mergeCell ref="A39:V40"/>
    <mergeCell ref="W36:BI38"/>
    <mergeCell ref="BJ36:CV38"/>
    <mergeCell ref="A34:V35"/>
    <mergeCell ref="A36:V38"/>
    <mergeCell ref="W34:CV35"/>
    <mergeCell ref="W39:BI40"/>
    <mergeCell ref="BJ39:CV40"/>
    <mergeCell ref="A30:CV30"/>
    <mergeCell ref="Y32:Z32"/>
    <mergeCell ref="AI32:AJ32"/>
    <mergeCell ref="AL32:BC32"/>
    <mergeCell ref="AB32:AF32"/>
    <mergeCell ref="BV28:CD28"/>
    <mergeCell ref="AR28:AW28"/>
    <mergeCell ref="AY28:BT28"/>
    <mergeCell ref="A28:I28"/>
    <mergeCell ref="K28:S28"/>
    <mergeCell ref="DB29:DC29"/>
    <mergeCell ref="CR28:CS28"/>
    <mergeCell ref="CU28:CV28"/>
    <mergeCell ref="CL28:CM28"/>
    <mergeCell ref="CO28:CP28"/>
    <mergeCell ref="CF28:CJ28"/>
    <mergeCell ref="CI26:CJ26"/>
    <mergeCell ref="CL26:CM26"/>
    <mergeCell ref="CO26:CP26"/>
    <mergeCell ref="CR26:CS26"/>
    <mergeCell ref="CU26:CV26"/>
    <mergeCell ref="CX26:CZ26"/>
    <mergeCell ref="BQ26:BR26"/>
    <mergeCell ref="BT26:BU26"/>
    <mergeCell ref="BW26:BX26"/>
    <mergeCell ref="BZ26:CA26"/>
    <mergeCell ref="CC26:CD26"/>
    <mergeCell ref="CF26:CG26"/>
    <mergeCell ref="CU24:CV24"/>
    <mergeCell ref="CX24:CZ24"/>
    <mergeCell ref="A26:C26"/>
    <mergeCell ref="D26:I26"/>
    <mergeCell ref="K26:W26"/>
    <mergeCell ref="X26:AI26"/>
    <mergeCell ref="AK26:AL26"/>
    <mergeCell ref="AN26:AZ26"/>
    <mergeCell ref="BA26:BL26"/>
    <mergeCell ref="BN26:BO26"/>
    <mergeCell ref="CC24:CD24"/>
    <mergeCell ref="CF24:CG24"/>
    <mergeCell ref="CI24:CJ24"/>
    <mergeCell ref="CL24:CM24"/>
    <mergeCell ref="CO24:CP24"/>
    <mergeCell ref="CR24:CS24"/>
    <mergeCell ref="BA24:BL24"/>
    <mergeCell ref="BN24:BO24"/>
    <mergeCell ref="BQ24:BR24"/>
    <mergeCell ref="BT24:BU24"/>
    <mergeCell ref="BW24:BX24"/>
    <mergeCell ref="BZ24:CA24"/>
    <mergeCell ref="A24:C24"/>
    <mergeCell ref="D24:I24"/>
    <mergeCell ref="K24:W24"/>
    <mergeCell ref="X24:AI24"/>
    <mergeCell ref="AK24:AL24"/>
    <mergeCell ref="AN24:AZ24"/>
    <mergeCell ref="CT21:CT22"/>
    <mergeCell ref="CU21:CV22"/>
    <mergeCell ref="CX21:CZ22"/>
    <mergeCell ref="K22:W22"/>
    <mergeCell ref="X22:AI22"/>
    <mergeCell ref="AN22:AZ22"/>
    <mergeCell ref="BA22:BL22"/>
    <mergeCell ref="CC21:CD22"/>
    <mergeCell ref="CF21:CG22"/>
    <mergeCell ref="CH21:CH22"/>
    <mergeCell ref="CI21:CJ22"/>
    <mergeCell ref="CL21:CM22"/>
    <mergeCell ref="CN21:CN22"/>
    <mergeCell ref="BQ21:BR22"/>
    <mergeCell ref="BT21:BU22"/>
    <mergeCell ref="BV21:BV22"/>
    <mergeCell ref="BW21:BX22"/>
    <mergeCell ref="BZ21:CA22"/>
    <mergeCell ref="CB21:CB22"/>
    <mergeCell ref="CX19:CZ19"/>
    <mergeCell ref="A21:C22"/>
    <mergeCell ref="D21:I22"/>
    <mergeCell ref="K21:W21"/>
    <mergeCell ref="X21:AI21"/>
    <mergeCell ref="AK21:AL22"/>
    <mergeCell ref="AN21:AZ21"/>
    <mergeCell ref="BA21:BL21"/>
    <mergeCell ref="BN21:BO22"/>
    <mergeCell ref="BP21:BP22"/>
    <mergeCell ref="CF19:CG19"/>
    <mergeCell ref="CI19:CJ19"/>
    <mergeCell ref="CL19:CM19"/>
    <mergeCell ref="CO19:CP19"/>
    <mergeCell ref="CR19:CS19"/>
    <mergeCell ref="CU19:CV19"/>
    <mergeCell ref="BN19:BO19"/>
    <mergeCell ref="BQ19:BR19"/>
    <mergeCell ref="BT19:BU19"/>
    <mergeCell ref="BW19:BX19"/>
    <mergeCell ref="BZ19:CA19"/>
    <mergeCell ref="CC19:CD19"/>
    <mergeCell ref="CO21:CP22"/>
    <mergeCell ref="CR21:CS22"/>
    <mergeCell ref="CR17:CS17"/>
    <mergeCell ref="CU17:CV17"/>
    <mergeCell ref="CX17:CZ17"/>
    <mergeCell ref="A19:C19"/>
    <mergeCell ref="D19:I19"/>
    <mergeCell ref="K19:W19"/>
    <mergeCell ref="X19:AI19"/>
    <mergeCell ref="AK19:AL19"/>
    <mergeCell ref="AN19:AZ19"/>
    <mergeCell ref="BA19:BL19"/>
    <mergeCell ref="BZ17:CA17"/>
    <mergeCell ref="CC17:CD17"/>
    <mergeCell ref="CF17:CG17"/>
    <mergeCell ref="CI17:CJ17"/>
    <mergeCell ref="CL17:CM17"/>
    <mergeCell ref="CO17:CP17"/>
    <mergeCell ref="AN17:AZ17"/>
    <mergeCell ref="BA17:BL17"/>
    <mergeCell ref="BN17:BO17"/>
    <mergeCell ref="BQ17:BR17"/>
    <mergeCell ref="BT17:BU17"/>
    <mergeCell ref="BW17:BX17"/>
    <mergeCell ref="A17:C17"/>
    <mergeCell ref="D17:I17"/>
    <mergeCell ref="K17:W17"/>
    <mergeCell ref="X17:AI17"/>
    <mergeCell ref="AK17:AL17"/>
    <mergeCell ref="CU14:CV15"/>
    <mergeCell ref="CX14:CZ15"/>
    <mergeCell ref="K15:W15"/>
    <mergeCell ref="X15:AI15"/>
    <mergeCell ref="AN15:AZ15"/>
    <mergeCell ref="BA15:BL15"/>
    <mergeCell ref="CI14:CJ15"/>
    <mergeCell ref="CL14:CM15"/>
    <mergeCell ref="CN14:CN15"/>
    <mergeCell ref="CO14:CP15"/>
    <mergeCell ref="CR14:CS15"/>
    <mergeCell ref="CT14:CT15"/>
    <mergeCell ref="BW14:BX15"/>
    <mergeCell ref="BZ14:CA15"/>
    <mergeCell ref="CB14:CB15"/>
    <mergeCell ref="CC14:CD15"/>
    <mergeCell ref="CF14:CG15"/>
    <mergeCell ref="CH14:CH15"/>
    <mergeCell ref="BA14:BL14"/>
    <mergeCell ref="BN14:BO15"/>
    <mergeCell ref="BP14:BP15"/>
    <mergeCell ref="BQ14:BR15"/>
    <mergeCell ref="BT14:BU15"/>
    <mergeCell ref="BV14:BV15"/>
    <mergeCell ref="A14:C15"/>
    <mergeCell ref="D14:I15"/>
    <mergeCell ref="K14:W14"/>
    <mergeCell ref="X14:AI14"/>
    <mergeCell ref="AK14:AL15"/>
    <mergeCell ref="AN14:AZ14"/>
    <mergeCell ref="CU11:CV12"/>
    <mergeCell ref="CX11:CZ12"/>
    <mergeCell ref="K12:W12"/>
    <mergeCell ref="X12:AI12"/>
    <mergeCell ref="AN12:AZ12"/>
    <mergeCell ref="BA12:BL12"/>
    <mergeCell ref="CI11:CJ12"/>
    <mergeCell ref="CL11:CM12"/>
    <mergeCell ref="CN11:CN12"/>
    <mergeCell ref="CO11:CP12"/>
    <mergeCell ref="CR11:CS12"/>
    <mergeCell ref="CT11:CT12"/>
    <mergeCell ref="BW11:BX12"/>
    <mergeCell ref="BZ11:CA12"/>
    <mergeCell ref="CB11:CB12"/>
    <mergeCell ref="CC11:CD12"/>
    <mergeCell ref="CF11:CG12"/>
    <mergeCell ref="CH11:CH12"/>
    <mergeCell ref="BA11:BL11"/>
    <mergeCell ref="BN11:BO12"/>
    <mergeCell ref="BP11:BP12"/>
    <mergeCell ref="BQ11:BR12"/>
    <mergeCell ref="BT11:BU12"/>
    <mergeCell ref="BV11:BV12"/>
    <mergeCell ref="A11:C12"/>
    <mergeCell ref="D11:I12"/>
    <mergeCell ref="K11:W11"/>
    <mergeCell ref="X11:AI11"/>
    <mergeCell ref="AK11:AL12"/>
    <mergeCell ref="AN11:AZ11"/>
    <mergeCell ref="CL8:CM9"/>
    <mergeCell ref="CN8:CN9"/>
    <mergeCell ref="CO8:CP9"/>
    <mergeCell ref="AK8:AL9"/>
    <mergeCell ref="AN8:AZ8"/>
    <mergeCell ref="BA8:BL8"/>
    <mergeCell ref="AN9:AZ9"/>
    <mergeCell ref="BA9:BL9"/>
    <mergeCell ref="A8:C9"/>
    <mergeCell ref="D8:I9"/>
    <mergeCell ref="K8:W8"/>
    <mergeCell ref="K9:W9"/>
    <mergeCell ref="X8:AI8"/>
    <mergeCell ref="X9:AI9"/>
    <mergeCell ref="CR8:CS9"/>
    <mergeCell ref="CT8:CT9"/>
    <mergeCell ref="CU8:CV9"/>
    <mergeCell ref="DB4:DE4"/>
    <mergeCell ref="BN8:BO9"/>
    <mergeCell ref="BQ8:BR9"/>
    <mergeCell ref="BP8:BP9"/>
    <mergeCell ref="BT8:BU9"/>
    <mergeCell ref="BV8:BV9"/>
    <mergeCell ref="BW8:BX9"/>
    <mergeCell ref="BZ8:CA9"/>
    <mergeCell ref="CB8:CB9"/>
    <mergeCell ref="CX8:CZ9"/>
    <mergeCell ref="CC8:CD9"/>
    <mergeCell ref="CF8:CG9"/>
    <mergeCell ref="CH8:CH9"/>
    <mergeCell ref="CI8:CJ9"/>
    <mergeCell ref="BT6:BX6"/>
    <mergeCell ref="BN6:BR6"/>
    <mergeCell ref="T2:AB2"/>
    <mergeCell ref="P6:AI6"/>
    <mergeCell ref="K6:O6"/>
    <mergeCell ref="AN6:AR6"/>
    <mergeCell ref="AS6:BL6"/>
    <mergeCell ref="CR6:CV6"/>
    <mergeCell ref="CL6:CP6"/>
    <mergeCell ref="CF6:CJ6"/>
    <mergeCell ref="CL1:CV4"/>
    <mergeCell ref="AE2:AJ2"/>
    <mergeCell ref="AL2:BF2"/>
    <mergeCell ref="AE4:AU4"/>
    <mergeCell ref="AV4:BD4"/>
    <mergeCell ref="DY2:EA2"/>
    <mergeCell ref="DR24:DU26"/>
    <mergeCell ref="A6:C6"/>
    <mergeCell ref="D6:I6"/>
    <mergeCell ref="BZ6:CD6"/>
    <mergeCell ref="BJ1:BT1"/>
    <mergeCell ref="BJ2:BT2"/>
    <mergeCell ref="BJ3:BT3"/>
    <mergeCell ref="BJ4:BT4"/>
    <mergeCell ref="BV1:CJ1"/>
    <mergeCell ref="BV2:CJ2"/>
    <mergeCell ref="BV3:CJ3"/>
    <mergeCell ref="BV4:CJ4"/>
    <mergeCell ref="A3:E3"/>
    <mergeCell ref="A4:E4"/>
    <mergeCell ref="G3:AB3"/>
    <mergeCell ref="G4:AB4"/>
    <mergeCell ref="AE1:AJ1"/>
    <mergeCell ref="AL1:BF1"/>
    <mergeCell ref="A1:E1"/>
    <mergeCell ref="G1:AB1"/>
    <mergeCell ref="A2:E2"/>
    <mergeCell ref="G2:M2"/>
    <mergeCell ref="O2:R2"/>
  </mergeCells>
  <conditionalFormatting sqref="K8">
    <cfRule type="expression" dxfId="51" priority="58">
      <formula>DC8=1</formula>
    </cfRule>
  </conditionalFormatting>
  <conditionalFormatting sqref="K9">
    <cfRule type="expression" dxfId="50" priority="57">
      <formula>DC9=1</formula>
    </cfRule>
  </conditionalFormatting>
  <conditionalFormatting sqref="AN8">
    <cfRule type="expression" dxfId="49" priority="56">
      <formula>DD8=1</formula>
    </cfRule>
  </conditionalFormatting>
  <conditionalFormatting sqref="AN9">
    <cfRule type="expression" dxfId="48" priority="55">
      <formula>DD9=1</formula>
    </cfRule>
  </conditionalFormatting>
  <conditionalFormatting sqref="CX8:CZ9">
    <cfRule type="cellIs" dxfId="47" priority="54" operator="equal">
      <formula>0</formula>
    </cfRule>
  </conditionalFormatting>
  <conditionalFormatting sqref="CF8 CI8 CL8 CO8 CR8 CU8">
    <cfRule type="expression" dxfId="46" priority="52">
      <formula>$DL$8=0</formula>
    </cfRule>
  </conditionalFormatting>
  <conditionalFormatting sqref="K11">
    <cfRule type="expression" dxfId="45" priority="51">
      <formula>DC11=1</formula>
    </cfRule>
  </conditionalFormatting>
  <conditionalFormatting sqref="K12">
    <cfRule type="expression" dxfId="44" priority="50">
      <formula>DC12=1</formula>
    </cfRule>
  </conditionalFormatting>
  <conditionalFormatting sqref="AN11">
    <cfRule type="expression" dxfId="43" priority="49">
      <formula>DD11=1</formula>
    </cfRule>
  </conditionalFormatting>
  <conditionalFormatting sqref="AN12">
    <cfRule type="expression" dxfId="42" priority="48">
      <formula>DD12=1</formula>
    </cfRule>
  </conditionalFormatting>
  <conditionalFormatting sqref="CF11 CI11 CL11 CO11 CR11 CU11">
    <cfRule type="expression" dxfId="41" priority="46">
      <formula>$DL$11=0</formula>
    </cfRule>
  </conditionalFormatting>
  <conditionalFormatting sqref="A8:C9 A11:C12">
    <cfRule type="cellIs" dxfId="40" priority="45" operator="equal">
      <formula>0</formula>
    </cfRule>
  </conditionalFormatting>
  <conditionalFormatting sqref="K14">
    <cfRule type="expression" dxfId="39" priority="44">
      <formula>DC14=1</formula>
    </cfRule>
  </conditionalFormatting>
  <conditionalFormatting sqref="K15">
    <cfRule type="expression" dxfId="38" priority="43">
      <formula>DC15=1</formula>
    </cfRule>
  </conditionalFormatting>
  <conditionalFormatting sqref="AN14">
    <cfRule type="expression" dxfId="37" priority="42">
      <formula>DD14=1</formula>
    </cfRule>
  </conditionalFormatting>
  <conditionalFormatting sqref="AN15">
    <cfRule type="expression" dxfId="36" priority="41">
      <formula>DD15=1</formula>
    </cfRule>
  </conditionalFormatting>
  <conditionalFormatting sqref="CF14 CI14 CL14 CO14 CR14 CU14">
    <cfRule type="expression" dxfId="35" priority="39">
      <formula>$DL$14=0</formula>
    </cfRule>
  </conditionalFormatting>
  <conditionalFormatting sqref="A14:C15">
    <cfRule type="cellIs" dxfId="34" priority="38" operator="equal">
      <formula>0</formula>
    </cfRule>
  </conditionalFormatting>
  <conditionalFormatting sqref="A17:C17">
    <cfRule type="cellIs" dxfId="33" priority="37" operator="equal">
      <formula>0</formula>
    </cfRule>
  </conditionalFormatting>
  <conditionalFormatting sqref="CF17 CI17 CL17 CO17 CR17 CU17">
    <cfRule type="expression" dxfId="32" priority="36">
      <formula>$DL$17=0</formula>
    </cfRule>
  </conditionalFormatting>
  <conditionalFormatting sqref="K17">
    <cfRule type="expression" dxfId="31" priority="35">
      <formula>DC17=1</formula>
    </cfRule>
  </conditionalFormatting>
  <conditionalFormatting sqref="AN17">
    <cfRule type="expression" dxfId="30" priority="34">
      <formula>DD17=1</formula>
    </cfRule>
  </conditionalFormatting>
  <conditionalFormatting sqref="CX17:CZ17">
    <cfRule type="cellIs" dxfId="29" priority="33" operator="equal">
      <formula>0</formula>
    </cfRule>
  </conditionalFormatting>
  <conditionalFormatting sqref="A19:C19">
    <cfRule type="cellIs" dxfId="28" priority="32" operator="equal">
      <formula>0</formula>
    </cfRule>
  </conditionalFormatting>
  <conditionalFormatting sqref="CF19 CI19 CL19 CO19 CR19 CU19">
    <cfRule type="expression" dxfId="27" priority="31">
      <formula>$DL$19=0</formula>
    </cfRule>
  </conditionalFormatting>
  <conditionalFormatting sqref="K19">
    <cfRule type="expression" dxfId="26" priority="30">
      <formula>DC19=1</formula>
    </cfRule>
  </conditionalFormatting>
  <conditionalFormatting sqref="AN19">
    <cfRule type="expression" dxfId="25" priority="29">
      <formula>DD19=1</formula>
    </cfRule>
  </conditionalFormatting>
  <conditionalFormatting sqref="CX11:CZ12">
    <cfRule type="cellIs" dxfId="24" priority="27" operator="equal">
      <formula>0</formula>
    </cfRule>
  </conditionalFormatting>
  <conditionalFormatting sqref="CX14:CZ15">
    <cfRule type="cellIs" dxfId="23" priority="26" operator="equal">
      <formula>0</formula>
    </cfRule>
  </conditionalFormatting>
  <conditionalFormatting sqref="CX19:CZ19">
    <cfRule type="cellIs" dxfId="22" priority="25" operator="equal">
      <formula>0</formula>
    </cfRule>
  </conditionalFormatting>
  <conditionalFormatting sqref="K21">
    <cfRule type="expression" dxfId="21" priority="24">
      <formula>DC21=1</formula>
    </cfRule>
  </conditionalFormatting>
  <conditionalFormatting sqref="K22">
    <cfRule type="expression" dxfId="20" priority="23">
      <formula>DC22=1</formula>
    </cfRule>
  </conditionalFormatting>
  <conditionalFormatting sqref="AN21">
    <cfRule type="expression" dxfId="19" priority="22">
      <formula>DD21=1</formula>
    </cfRule>
  </conditionalFormatting>
  <conditionalFormatting sqref="AN22">
    <cfRule type="expression" dxfId="18" priority="21">
      <formula>DD22=1</formula>
    </cfRule>
  </conditionalFormatting>
  <conditionalFormatting sqref="CF21 CI21 CL21 CO21 CR21 CU21">
    <cfRule type="expression" dxfId="17" priority="20">
      <formula>$DL$21=0</formula>
    </cfRule>
  </conditionalFormatting>
  <conditionalFormatting sqref="A21:C22">
    <cfRule type="cellIs" dxfId="16" priority="19" operator="equal">
      <formula>0</formula>
    </cfRule>
  </conditionalFormatting>
  <conditionalFormatting sqref="CX21:CZ22">
    <cfRule type="cellIs" dxfId="15" priority="18" operator="equal">
      <formula>0</formula>
    </cfRule>
  </conditionalFormatting>
  <conditionalFormatting sqref="A24:C24">
    <cfRule type="cellIs" dxfId="14" priority="17" operator="equal">
      <formula>0</formula>
    </cfRule>
  </conditionalFormatting>
  <conditionalFormatting sqref="CF24 CI24 CL24 CO24 CR24 CU24">
    <cfRule type="expression" dxfId="13" priority="16">
      <formula>$DL$24=0</formula>
    </cfRule>
  </conditionalFormatting>
  <conditionalFormatting sqref="K24">
    <cfRule type="expression" dxfId="12" priority="15">
      <formula>DC24=1</formula>
    </cfRule>
  </conditionalFormatting>
  <conditionalFormatting sqref="AN24">
    <cfRule type="expression" dxfId="11" priority="14">
      <formula>DD24=1</formula>
    </cfRule>
  </conditionalFormatting>
  <conditionalFormatting sqref="CX24:CZ24">
    <cfRule type="cellIs" dxfId="10" priority="13" operator="equal">
      <formula>0</formula>
    </cfRule>
  </conditionalFormatting>
  <conditionalFormatting sqref="A26:C26">
    <cfRule type="cellIs" dxfId="9" priority="12" operator="equal">
      <formula>0</formula>
    </cfRule>
  </conditionalFormatting>
  <conditionalFormatting sqref="CF26 CI26 CL26 CO26 CR26 CU26">
    <cfRule type="expression" dxfId="8" priority="11">
      <formula>$DL$26=0</formula>
    </cfRule>
  </conditionalFormatting>
  <conditionalFormatting sqref="K26">
    <cfRule type="expression" dxfId="7" priority="10">
      <formula>DC26=1</formula>
    </cfRule>
  </conditionalFormatting>
  <conditionalFormatting sqref="AN26">
    <cfRule type="expression" dxfId="6" priority="9">
      <formula>DD26=1</formula>
    </cfRule>
  </conditionalFormatting>
  <conditionalFormatting sqref="CX26:CZ26">
    <cfRule type="cellIs" dxfId="5" priority="8" operator="equal">
      <formula>0</formula>
    </cfRule>
  </conditionalFormatting>
  <conditionalFormatting sqref="K28">
    <cfRule type="cellIs" dxfId="4" priority="6" operator="equal">
      <formula>0</formula>
    </cfRule>
  </conditionalFormatting>
  <conditionalFormatting sqref="Y32:Z32 AI32:AJ32">
    <cfRule type="expression" dxfId="3" priority="5">
      <formula>$DM$32=0</formula>
    </cfRule>
  </conditionalFormatting>
  <conditionalFormatting sqref="DR24:DU26">
    <cfRule type="cellIs" dxfId="2" priority="3" operator="equal">
      <formula>"es fehlt noch was"</formula>
    </cfRule>
    <cfRule type="cellIs" dxfId="1" priority="4" operator="equal">
      <formula>"Spielbericht vollständig"</formula>
    </cfRule>
  </conditionalFormatting>
  <conditionalFormatting sqref="AV4:BD4">
    <cfRule type="cellIs" dxfId="0" priority="1" operator="equal">
      <formula>0</formula>
    </cfRule>
  </conditionalFormatting>
  <dataValidations count="6">
    <dataValidation type="list" allowBlank="1" showInputMessage="1" showErrorMessage="1" sqref="X8:AI9 X14:AI15 X24:AI24 X26:AI26">
      <formula1>$DW$37:$DW$38</formula1>
    </dataValidation>
    <dataValidation type="list" allowBlank="1" showInputMessage="1" showErrorMessage="1" sqref="X17:AI17">
      <formula1>$DW$37:$DW$38</formula1>
    </dataValidation>
    <dataValidation type="list" allowBlank="1" showInputMessage="1" showErrorMessage="1" sqref="X21:AI21">
      <formula1>$DW$37:$DW$38</formula1>
    </dataValidation>
    <dataValidation type="list" allowBlank="1" showInputMessage="1" showErrorMessage="1" sqref="X11:AI12 X19:AI19 X22:AI22">
      <formula1>$DW$39:$DW$40</formula1>
    </dataValidation>
    <dataValidation type="list" allowBlank="1" showInputMessage="1" showErrorMessage="1" sqref="BA8:BL9 BA14:BL15 BA17:BL17 BA21:BL21 BA24:BL24 BA26:BL26">
      <formula1>$DX$37:$DX$38</formula1>
    </dataValidation>
    <dataValidation type="list" allowBlank="1" showInputMessage="1" showErrorMessage="1" sqref="BA11:BL12 BA19:BL19 BA22:BL22">
      <formula1>$DX$39:$DX$40</formula1>
    </dataValidation>
  </dataValidations>
  <pageMargins left="0.23622047244094491" right="0.23622047244094491" top="0.55118110236220474" bottom="0.35433070866141736" header="0.31496062992125984" footer="0.31496062992125984"/>
  <pageSetup paperSize="9" scale="97" orientation="landscape" r:id="rId1"/>
  <headerFooter>
    <oddHeader>&amp;LSpielbericht Regionalliga&amp;C&amp;T&amp;RVersion 15/16-1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SPBMB">
                <anchor moveWithCells="1" sizeWithCells="1">
                  <from>
                    <xdr:col>121</xdr:col>
                    <xdr:colOff>19050</xdr:colOff>
                    <xdr:row>4</xdr:row>
                    <xdr:rowOff>114300</xdr:rowOff>
                  </from>
                  <to>
                    <xdr:col>125</xdr:col>
                    <xdr:colOff>9525</xdr:colOff>
                    <xdr:row>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5" name="Button 5">
              <controlPr defaultSize="0" print="0" autoFill="0" autoPict="0" macro="[0]!SRdruck">
                <anchor moveWithCells="1" sizeWithCells="1">
                  <from>
                    <xdr:col>121</xdr:col>
                    <xdr:colOff>28575</xdr:colOff>
                    <xdr:row>13</xdr:row>
                    <xdr:rowOff>9525</xdr:rowOff>
                  </from>
                  <to>
                    <xdr:col>125</xdr:col>
                    <xdr:colOff>19050</xdr:colOff>
                    <xdr:row>17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" r:id="rId6" name="Button 7">
              <controlPr defaultSize="0" print="0" autoFill="0" autoPict="0" macro="[0]!SPBdruckMAE">
                <anchor moveWithCells="1" sizeWithCells="1">
                  <from>
                    <xdr:col>121</xdr:col>
                    <xdr:colOff>9525</xdr:colOff>
                    <xdr:row>26</xdr:row>
                    <xdr:rowOff>85725</xdr:rowOff>
                  </from>
                  <to>
                    <xdr:col>124</xdr:col>
                    <xdr:colOff>752475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" r:id="rId7" name="Button 9">
              <controlPr defaultSize="0" print="0" autoFill="0" autoPict="0" macro="[0]!SPBdruckMAnE">
                <anchor moveWithCells="1" sizeWithCells="1">
                  <from>
                    <xdr:col>121</xdr:col>
                    <xdr:colOff>19050</xdr:colOff>
                    <xdr:row>33</xdr:row>
                    <xdr:rowOff>180975</xdr:rowOff>
                  </from>
                  <to>
                    <xdr:col>125</xdr:col>
                    <xdr:colOff>9525</xdr:colOff>
                    <xdr:row>38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8"/>
  <dimension ref="A1:AW320"/>
  <sheetViews>
    <sheetView zoomScaleNormal="100" workbookViewId="0">
      <selection activeCell="N9" sqref="N9"/>
    </sheetView>
  </sheetViews>
  <sheetFormatPr baseColWidth="10" defaultRowHeight="15" x14ac:dyDescent="0.25"/>
  <cols>
    <col min="1" max="22" width="2.85546875" customWidth="1"/>
    <col min="23" max="38" width="2.7109375" customWidth="1"/>
    <col min="39" max="49" width="2.85546875" customWidth="1"/>
  </cols>
  <sheetData>
    <row r="1" spans="1:49" ht="15" customHeight="1" x14ac:dyDescent="0.25">
      <c r="A1" s="591" t="s">
        <v>208</v>
      </c>
      <c r="B1" s="591"/>
      <c r="C1" s="591"/>
      <c r="D1" s="591"/>
      <c r="E1" s="591"/>
      <c r="F1" s="591"/>
      <c r="G1" s="591"/>
      <c r="H1" s="591"/>
      <c r="I1" s="591"/>
      <c r="J1" s="591"/>
      <c r="K1" s="591"/>
      <c r="L1" s="591"/>
      <c r="M1" s="591"/>
      <c r="N1" s="591"/>
      <c r="O1" s="591"/>
      <c r="P1" s="591"/>
      <c r="Q1" s="591"/>
      <c r="R1" s="591"/>
      <c r="S1" s="591"/>
      <c r="T1" s="591"/>
      <c r="U1" s="591"/>
      <c r="V1" s="591"/>
      <c r="W1" s="591"/>
      <c r="X1" s="591"/>
      <c r="Y1" s="591"/>
      <c r="Z1" s="591"/>
      <c r="AA1" s="591"/>
      <c r="AB1" s="591"/>
      <c r="AC1" s="591"/>
      <c r="AD1" s="591"/>
      <c r="AE1" s="591"/>
      <c r="AF1" s="591"/>
      <c r="AG1" s="591"/>
      <c r="AH1" s="591"/>
      <c r="AI1" s="591"/>
      <c r="AJ1" s="591"/>
      <c r="AK1" s="591"/>
      <c r="AL1" s="591"/>
      <c r="AM1" s="591"/>
      <c r="AN1" s="591"/>
      <c r="AO1" s="591"/>
      <c r="AP1" s="591"/>
      <c r="AQ1" s="591"/>
      <c r="AR1" s="591"/>
      <c r="AS1" s="591"/>
      <c r="AT1" s="591"/>
      <c r="AU1" s="591"/>
      <c r="AV1" s="591"/>
      <c r="AW1" s="591"/>
    </row>
    <row r="2" spans="1:49" ht="15" customHeight="1" x14ac:dyDescent="0.25">
      <c r="A2" s="591"/>
      <c r="B2" s="591"/>
      <c r="C2" s="591"/>
      <c r="D2" s="591"/>
      <c r="E2" s="591"/>
      <c r="F2" s="591"/>
      <c r="G2" s="591"/>
      <c r="H2" s="591"/>
      <c r="I2" s="591"/>
      <c r="J2" s="591"/>
      <c r="K2" s="591"/>
      <c r="L2" s="591"/>
      <c r="M2" s="591"/>
      <c r="N2" s="591"/>
      <c r="O2" s="591"/>
      <c r="P2" s="591"/>
      <c r="Q2" s="591"/>
      <c r="R2" s="591"/>
      <c r="S2" s="591"/>
      <c r="T2" s="591"/>
      <c r="U2" s="591"/>
      <c r="V2" s="591"/>
      <c r="W2" s="591"/>
      <c r="X2" s="591"/>
      <c r="Y2" s="591"/>
      <c r="Z2" s="591"/>
      <c r="AA2" s="591"/>
      <c r="AB2" s="591"/>
      <c r="AC2" s="591"/>
      <c r="AD2" s="591"/>
      <c r="AE2" s="591"/>
      <c r="AF2" s="591"/>
      <c r="AG2" s="591"/>
      <c r="AH2" s="591"/>
      <c r="AI2" s="591"/>
      <c r="AJ2" s="591"/>
      <c r="AK2" s="591"/>
      <c r="AL2" s="591"/>
      <c r="AM2" s="591"/>
      <c r="AN2" s="591"/>
      <c r="AO2" s="591"/>
      <c r="AP2" s="591"/>
      <c r="AQ2" s="591"/>
      <c r="AR2" s="591"/>
      <c r="AS2" s="591"/>
      <c r="AT2" s="591"/>
      <c r="AU2" s="591"/>
      <c r="AV2" s="591"/>
      <c r="AW2" s="591"/>
    </row>
    <row r="3" spans="1:49" ht="15.75" thickBot="1" x14ac:dyDescent="0.3">
      <c r="B3" t="s">
        <v>331</v>
      </c>
      <c r="E3" s="583" t="str">
        <f>Spielbericht!D8</f>
        <v>1. HD</v>
      </c>
      <c r="F3" s="583"/>
      <c r="G3" s="583"/>
      <c r="H3" s="583"/>
      <c r="I3" s="208">
        <f>Spielbericht!A8</f>
        <v>0</v>
      </c>
      <c r="J3" s="208"/>
      <c r="K3" s="208"/>
      <c r="L3" s="592" t="s">
        <v>334</v>
      </c>
      <c r="M3" s="592"/>
      <c r="N3" s="592"/>
      <c r="O3" s="592"/>
      <c r="P3" s="592"/>
      <c r="Q3" s="592"/>
      <c r="R3" s="592"/>
      <c r="S3" s="592"/>
      <c r="T3" s="592"/>
      <c r="U3" s="592"/>
      <c r="V3" s="592"/>
      <c r="W3" s="592"/>
      <c r="X3" s="592"/>
      <c r="Y3" s="592"/>
      <c r="Z3" s="592"/>
      <c r="AA3" s="592"/>
      <c r="AB3" s="592"/>
      <c r="AC3" s="592"/>
      <c r="AD3" s="592"/>
      <c r="AE3" s="592"/>
      <c r="AF3" s="592"/>
      <c r="AG3" s="592"/>
      <c r="AH3" s="592"/>
      <c r="AI3" s="592"/>
      <c r="AJ3" s="592"/>
      <c r="AK3" s="592"/>
      <c r="AL3" s="592"/>
    </row>
    <row r="4" spans="1:49" ht="15.75" thickBot="1" x14ac:dyDescent="0.3">
      <c r="B4" t="s">
        <v>336</v>
      </c>
      <c r="E4" s="208" t="str">
        <f>Grundeinstellungen!G5</f>
        <v>Regionalliga Süd/Ost</v>
      </c>
      <c r="F4" s="208"/>
      <c r="G4" s="208"/>
      <c r="H4" s="208"/>
      <c r="I4" s="208"/>
      <c r="J4" s="208"/>
      <c r="K4" s="208"/>
      <c r="L4" s="94"/>
      <c r="M4" s="584" t="e">
        <f>Spielbericht!K8</f>
        <v>#N/A</v>
      </c>
      <c r="N4" s="585"/>
      <c r="O4" s="585"/>
      <c r="P4" s="585"/>
      <c r="Q4" s="585"/>
      <c r="R4" s="585"/>
      <c r="S4" s="585"/>
      <c r="T4" s="585"/>
      <c r="U4" s="586"/>
      <c r="V4" s="95" t="s">
        <v>337</v>
      </c>
      <c r="W4" s="580" t="str">
        <f>IF(Spielbericht!BN8="","",Spielbericht!BN8)</f>
        <v/>
      </c>
      <c r="X4" s="580"/>
      <c r="Y4" s="90" t="s">
        <v>301</v>
      </c>
      <c r="Z4" s="580" t="str">
        <f>IF(Spielbericht!BQ8="","",Spielbericht!BQ8)</f>
        <v/>
      </c>
      <c r="AA4" s="581"/>
      <c r="AB4" s="584" t="e">
        <f>Spielbericht!AN8</f>
        <v>#N/A</v>
      </c>
      <c r="AC4" s="585"/>
      <c r="AD4" s="585"/>
      <c r="AE4" s="585"/>
      <c r="AF4" s="585"/>
      <c r="AG4" s="585"/>
      <c r="AH4" s="585"/>
      <c r="AI4" s="585"/>
      <c r="AJ4" s="586"/>
      <c r="AK4" s="93"/>
      <c r="AM4" s="58" t="s">
        <v>29</v>
      </c>
      <c r="AQ4" s="4"/>
      <c r="AR4" s="4"/>
      <c r="AS4" s="4"/>
      <c r="AT4" s="4"/>
      <c r="AU4" s="4"/>
      <c r="AV4" s="4"/>
      <c r="AW4" s="4"/>
    </row>
    <row r="5" spans="1:49" ht="15.75" thickBot="1" x14ac:dyDescent="0.3">
      <c r="B5" t="s">
        <v>335</v>
      </c>
      <c r="E5" s="382"/>
      <c r="F5" s="382"/>
      <c r="G5" s="382"/>
      <c r="H5" s="382"/>
      <c r="I5" s="382"/>
      <c r="J5" s="382"/>
      <c r="K5" s="382"/>
      <c r="M5" s="587" t="e">
        <f>Spielbericht!K9</f>
        <v>#N/A</v>
      </c>
      <c r="N5" s="588"/>
      <c r="O5" s="588"/>
      <c r="P5" s="588"/>
      <c r="Q5" s="588"/>
      <c r="R5" s="588"/>
      <c r="S5" s="588"/>
      <c r="T5" s="588"/>
      <c r="U5" s="589"/>
      <c r="V5" s="96" t="s">
        <v>338</v>
      </c>
      <c r="W5" s="182" t="str">
        <f>IF(Spielbericht!BT8="","",Spielbericht!BT8)</f>
        <v/>
      </c>
      <c r="X5" s="182"/>
      <c r="Y5" s="16" t="s">
        <v>301</v>
      </c>
      <c r="Z5" s="182" t="str">
        <f>IF(Spielbericht!BW8="","",Spielbericht!BW8)</f>
        <v/>
      </c>
      <c r="AA5" s="590"/>
      <c r="AB5" s="587" t="e">
        <f>Spielbericht!AN9</f>
        <v>#N/A</v>
      </c>
      <c r="AC5" s="588"/>
      <c r="AD5" s="588"/>
      <c r="AE5" s="588"/>
      <c r="AF5" s="588"/>
      <c r="AG5" s="588"/>
      <c r="AH5" s="588"/>
      <c r="AI5" s="588"/>
      <c r="AJ5" s="589"/>
    </row>
    <row r="6" spans="1:49" ht="15.75" thickBot="1" x14ac:dyDescent="0.3">
      <c r="B6" t="s">
        <v>33</v>
      </c>
      <c r="E6" s="582">
        <f ca="1">TODAY()</f>
        <v>42418</v>
      </c>
      <c r="F6" s="582"/>
      <c r="G6" s="582"/>
      <c r="H6" s="582"/>
      <c r="I6" s="582"/>
      <c r="J6" s="582"/>
      <c r="K6" s="582"/>
      <c r="M6" s="425">
        <f>Spielbericht!P6</f>
        <v>0</v>
      </c>
      <c r="N6" s="426"/>
      <c r="O6" s="426"/>
      <c r="P6" s="426"/>
      <c r="Q6" s="426"/>
      <c r="R6" s="426"/>
      <c r="S6" s="426"/>
      <c r="T6" s="426"/>
      <c r="U6" s="427"/>
      <c r="V6" s="91" t="s">
        <v>339</v>
      </c>
      <c r="W6" s="573" t="str">
        <f>IF(Spielbericht!BZ8="","",Spielbericht!BZ8)</f>
        <v/>
      </c>
      <c r="X6" s="573"/>
      <c r="Y6" s="92" t="s">
        <v>301</v>
      </c>
      <c r="Z6" s="573" t="str">
        <f>IF(Spielbericht!CC8="","",Spielbericht!CC8)</f>
        <v/>
      </c>
      <c r="AA6" s="574"/>
      <c r="AB6" s="425">
        <f>Spielbericht!AS6</f>
        <v>0</v>
      </c>
      <c r="AC6" s="426"/>
      <c r="AD6" s="426"/>
      <c r="AE6" s="426"/>
      <c r="AF6" s="426"/>
      <c r="AG6" s="426"/>
      <c r="AH6" s="426"/>
      <c r="AI6" s="426"/>
      <c r="AJ6" s="427"/>
      <c r="AK6" s="5"/>
      <c r="AL6" s="5"/>
      <c r="AM6" s="58" t="s">
        <v>332</v>
      </c>
      <c r="AN6" s="5"/>
      <c r="AO6" s="4"/>
      <c r="AP6" s="4"/>
      <c r="AQ6" s="4"/>
      <c r="AR6" s="4"/>
      <c r="AS6" s="58" t="s">
        <v>333</v>
      </c>
      <c r="AU6" s="4"/>
      <c r="AV6" s="4"/>
      <c r="AW6" s="4"/>
    </row>
    <row r="7" spans="1:49" ht="15" customHeight="1" thickBot="1" x14ac:dyDescent="0.3">
      <c r="A7" s="208"/>
      <c r="B7" s="208"/>
      <c r="C7" s="208"/>
      <c r="D7" s="208"/>
      <c r="E7" s="208"/>
      <c r="F7" s="208"/>
      <c r="G7" s="208"/>
      <c r="H7" s="208"/>
      <c r="I7" s="208"/>
      <c r="J7" s="208"/>
      <c r="K7" s="208"/>
      <c r="L7" s="208"/>
      <c r="M7" s="208"/>
      <c r="N7" s="208"/>
      <c r="O7" s="208"/>
      <c r="P7" s="208"/>
      <c r="Q7" s="208"/>
      <c r="R7" s="208"/>
      <c r="S7" s="208"/>
      <c r="T7" s="208"/>
      <c r="U7" s="208"/>
      <c r="V7" s="208"/>
      <c r="W7" s="208"/>
      <c r="X7" s="208"/>
      <c r="Z7" s="208"/>
      <c r="AA7" s="208"/>
      <c r="AB7" s="208"/>
      <c r="AC7" s="208"/>
      <c r="AD7" s="208"/>
      <c r="AE7" s="208"/>
      <c r="AF7" s="208"/>
      <c r="AG7" s="208"/>
      <c r="AH7" s="208"/>
      <c r="AI7" s="208"/>
      <c r="AJ7" s="208"/>
      <c r="AK7" s="208"/>
      <c r="AL7" s="208"/>
      <c r="AM7" s="208"/>
      <c r="AN7" s="208"/>
      <c r="AO7" s="208"/>
      <c r="AP7" s="208"/>
      <c r="AQ7" s="208"/>
      <c r="AR7" s="208"/>
      <c r="AS7" s="208"/>
      <c r="AT7" s="208"/>
      <c r="AU7" s="208"/>
      <c r="AV7" s="208"/>
      <c r="AW7" s="208"/>
    </row>
    <row r="8" spans="1:49" ht="15.75" customHeight="1" x14ac:dyDescent="0.25">
      <c r="A8" s="575" t="e">
        <f>IF($M$4="","",$M$4)</f>
        <v>#N/A</v>
      </c>
      <c r="B8" s="576"/>
      <c r="C8" s="576"/>
      <c r="D8" s="576"/>
      <c r="E8" s="576"/>
      <c r="F8" s="576"/>
      <c r="G8" s="576"/>
      <c r="H8" s="576"/>
      <c r="I8" s="576"/>
      <c r="J8" s="101"/>
      <c r="K8" s="89"/>
      <c r="L8" s="97"/>
      <c r="M8" s="97"/>
      <c r="N8" s="97"/>
      <c r="O8" s="97"/>
      <c r="P8" s="97"/>
      <c r="Q8" s="97"/>
      <c r="R8" s="97"/>
      <c r="S8" s="97"/>
      <c r="T8" s="97"/>
      <c r="U8" s="97"/>
      <c r="V8" s="97"/>
      <c r="W8" s="97"/>
      <c r="X8" s="97"/>
      <c r="Y8" s="97"/>
      <c r="Z8" s="97"/>
      <c r="AA8" s="97"/>
      <c r="AB8" s="97"/>
      <c r="AC8" s="97"/>
      <c r="AD8" s="97"/>
      <c r="AE8" s="97"/>
      <c r="AF8" s="97"/>
      <c r="AG8" s="97"/>
      <c r="AH8" s="97"/>
      <c r="AI8" s="97"/>
      <c r="AJ8" s="97"/>
      <c r="AK8" s="97"/>
      <c r="AL8" s="97"/>
      <c r="AM8" s="97"/>
      <c r="AN8" s="97"/>
      <c r="AO8" s="97"/>
      <c r="AP8" s="97"/>
      <c r="AQ8" s="97"/>
      <c r="AR8" s="97"/>
      <c r="AS8" s="97"/>
      <c r="AT8" s="98"/>
      <c r="AU8" s="579"/>
      <c r="AV8" s="580"/>
      <c r="AW8" s="581"/>
    </row>
    <row r="9" spans="1:49" ht="15.75" customHeight="1" thickBot="1" x14ac:dyDescent="0.3">
      <c r="A9" s="570" t="e">
        <f>IF($M$5="","",$M$5)</f>
        <v>#N/A</v>
      </c>
      <c r="B9" s="571"/>
      <c r="C9" s="571"/>
      <c r="D9" s="571"/>
      <c r="E9" s="571"/>
      <c r="F9" s="571"/>
      <c r="G9" s="571"/>
      <c r="H9" s="571"/>
      <c r="I9" s="571"/>
      <c r="J9" s="102"/>
      <c r="K9" s="91"/>
      <c r="L9" s="99"/>
      <c r="M9" s="99"/>
      <c r="N9" s="99"/>
      <c r="O9" s="99"/>
      <c r="P9" s="99"/>
      <c r="Q9" s="99"/>
      <c r="R9" s="99"/>
      <c r="S9" s="99"/>
      <c r="T9" s="99"/>
      <c r="U9" s="99"/>
      <c r="V9" s="99"/>
      <c r="W9" s="99"/>
      <c r="X9" s="99"/>
      <c r="Y9" s="99"/>
      <c r="Z9" s="99"/>
      <c r="AA9" s="99"/>
      <c r="AB9" s="99"/>
      <c r="AC9" s="99"/>
      <c r="AD9" s="99"/>
      <c r="AE9" s="99"/>
      <c r="AF9" s="99"/>
      <c r="AG9" s="99"/>
      <c r="AH9" s="99"/>
      <c r="AI9" s="99"/>
      <c r="AJ9" s="99"/>
      <c r="AK9" s="99"/>
      <c r="AL9" s="99"/>
      <c r="AM9" s="99"/>
      <c r="AN9" s="99"/>
      <c r="AO9" s="99"/>
      <c r="AP9" s="99"/>
      <c r="AQ9" s="99"/>
      <c r="AR9" s="99"/>
      <c r="AS9" s="99"/>
      <c r="AT9" s="100"/>
      <c r="AU9" s="572"/>
      <c r="AV9" s="573"/>
      <c r="AW9" s="574"/>
    </row>
    <row r="10" spans="1:49" ht="15.75" customHeight="1" x14ac:dyDescent="0.25">
      <c r="A10" s="575" t="e">
        <f>IF($AB$4="","",$AB$4)</f>
        <v>#N/A</v>
      </c>
      <c r="B10" s="576"/>
      <c r="C10" s="576"/>
      <c r="D10" s="576"/>
      <c r="E10" s="576"/>
      <c r="F10" s="576"/>
      <c r="G10" s="576"/>
      <c r="H10" s="576"/>
      <c r="I10" s="576"/>
      <c r="J10" s="101"/>
      <c r="K10" s="89"/>
      <c r="L10" s="97"/>
      <c r="M10" s="97"/>
      <c r="N10" s="97"/>
      <c r="O10" s="97"/>
      <c r="P10" s="97"/>
      <c r="Q10" s="97"/>
      <c r="R10" s="97"/>
      <c r="S10" s="97"/>
      <c r="T10" s="97"/>
      <c r="U10" s="97"/>
      <c r="V10" s="97"/>
      <c r="W10" s="97"/>
      <c r="X10" s="97"/>
      <c r="Y10" s="97"/>
      <c r="Z10" s="97"/>
      <c r="AA10" s="97"/>
      <c r="AB10" s="97"/>
      <c r="AC10" s="97"/>
      <c r="AD10" s="97"/>
      <c r="AE10" s="97"/>
      <c r="AF10" s="97"/>
      <c r="AG10" s="97"/>
      <c r="AH10" s="97"/>
      <c r="AI10" s="97"/>
      <c r="AJ10" s="97"/>
      <c r="AK10" s="97"/>
      <c r="AL10" s="97"/>
      <c r="AM10" s="97"/>
      <c r="AN10" s="97"/>
      <c r="AO10" s="97"/>
      <c r="AP10" s="97"/>
      <c r="AQ10" s="97"/>
      <c r="AR10" s="97"/>
      <c r="AS10" s="97"/>
      <c r="AT10" s="98"/>
      <c r="AU10" s="386"/>
      <c r="AV10" s="577"/>
      <c r="AW10" s="578"/>
    </row>
    <row r="11" spans="1:49" ht="15.75" customHeight="1" thickBot="1" x14ac:dyDescent="0.3">
      <c r="A11" s="570" t="e">
        <f>IF($AB$5="","",$AB$5)</f>
        <v>#N/A</v>
      </c>
      <c r="B11" s="571"/>
      <c r="C11" s="571"/>
      <c r="D11" s="571"/>
      <c r="E11" s="571"/>
      <c r="F11" s="571"/>
      <c r="G11" s="571"/>
      <c r="H11" s="571"/>
      <c r="I11" s="571"/>
      <c r="J11" s="102"/>
      <c r="K11" s="91"/>
      <c r="L11" s="99"/>
      <c r="M11" s="99"/>
      <c r="N11" s="99"/>
      <c r="O11" s="99"/>
      <c r="P11" s="99"/>
      <c r="Q11" s="99"/>
      <c r="R11" s="99"/>
      <c r="S11" s="99"/>
      <c r="T11" s="99"/>
      <c r="U11" s="99"/>
      <c r="V11" s="99"/>
      <c r="W11" s="99"/>
      <c r="X11" s="99"/>
      <c r="Y11" s="99"/>
      <c r="Z11" s="99"/>
      <c r="AA11" s="99"/>
      <c r="AB11" s="99"/>
      <c r="AC11" s="99"/>
      <c r="AD11" s="99"/>
      <c r="AE11" s="99"/>
      <c r="AF11" s="99"/>
      <c r="AG11" s="99"/>
      <c r="AH11" s="99"/>
      <c r="AI11" s="99"/>
      <c r="AJ11" s="99"/>
      <c r="AK11" s="99"/>
      <c r="AL11" s="99"/>
      <c r="AM11" s="99"/>
      <c r="AN11" s="99"/>
      <c r="AO11" s="99"/>
      <c r="AP11" s="99"/>
      <c r="AQ11" s="99"/>
      <c r="AR11" s="99"/>
      <c r="AS11" s="99"/>
      <c r="AT11" s="100"/>
      <c r="AU11" s="572"/>
      <c r="AV11" s="573"/>
      <c r="AW11" s="574"/>
    </row>
    <row r="12" spans="1:49" ht="4.5" customHeight="1" thickBot="1" x14ac:dyDescent="0.3">
      <c r="A12" s="12"/>
      <c r="B12" s="12"/>
      <c r="C12" s="12"/>
      <c r="D12" s="12"/>
      <c r="E12" s="12"/>
      <c r="F12" s="12"/>
      <c r="G12" s="12"/>
      <c r="H12" s="12"/>
      <c r="I12" s="12"/>
      <c r="K12" s="5"/>
      <c r="L12" s="5"/>
    </row>
    <row r="13" spans="1:49" ht="15.75" customHeight="1" x14ac:dyDescent="0.25">
      <c r="A13" s="575" t="e">
        <f>IF($M$4="","",$M$4)</f>
        <v>#N/A</v>
      </c>
      <c r="B13" s="576"/>
      <c r="C13" s="576"/>
      <c r="D13" s="576"/>
      <c r="E13" s="576"/>
      <c r="F13" s="576"/>
      <c r="G13" s="576"/>
      <c r="H13" s="576"/>
      <c r="I13" s="576"/>
      <c r="J13" s="101"/>
      <c r="K13" s="89"/>
      <c r="L13" s="97"/>
      <c r="M13" s="97"/>
      <c r="N13" s="97"/>
      <c r="O13" s="97"/>
      <c r="P13" s="97"/>
      <c r="Q13" s="97"/>
      <c r="R13" s="97"/>
      <c r="S13" s="97"/>
      <c r="T13" s="97"/>
      <c r="U13" s="97"/>
      <c r="V13" s="97"/>
      <c r="W13" s="97"/>
      <c r="X13" s="97"/>
      <c r="Y13" s="97"/>
      <c r="Z13" s="97"/>
      <c r="AA13" s="97"/>
      <c r="AB13" s="97"/>
      <c r="AC13" s="97"/>
      <c r="AD13" s="97"/>
      <c r="AE13" s="97"/>
      <c r="AF13" s="97"/>
      <c r="AG13" s="97"/>
      <c r="AH13" s="97"/>
      <c r="AI13" s="97"/>
      <c r="AJ13" s="97"/>
      <c r="AK13" s="97"/>
      <c r="AL13" s="97"/>
      <c r="AM13" s="97"/>
      <c r="AN13" s="97"/>
      <c r="AO13" s="97"/>
      <c r="AP13" s="97"/>
      <c r="AQ13" s="97"/>
      <c r="AR13" s="97"/>
      <c r="AS13" s="97"/>
      <c r="AT13" s="98"/>
      <c r="AU13" s="579"/>
      <c r="AV13" s="580"/>
      <c r="AW13" s="581"/>
    </row>
    <row r="14" spans="1:49" ht="15.75" customHeight="1" thickBot="1" x14ac:dyDescent="0.3">
      <c r="A14" s="570" t="e">
        <f>IF($M$5="","",$M$5)</f>
        <v>#N/A</v>
      </c>
      <c r="B14" s="571"/>
      <c r="C14" s="571"/>
      <c r="D14" s="571"/>
      <c r="E14" s="571"/>
      <c r="F14" s="571"/>
      <c r="G14" s="571"/>
      <c r="H14" s="571"/>
      <c r="I14" s="571"/>
      <c r="J14" s="102"/>
      <c r="K14" s="91"/>
      <c r="L14" s="99"/>
      <c r="M14" s="99"/>
      <c r="N14" s="99"/>
      <c r="O14" s="99"/>
      <c r="P14" s="99"/>
      <c r="Q14" s="99"/>
      <c r="R14" s="99"/>
      <c r="S14" s="99"/>
      <c r="T14" s="99"/>
      <c r="U14" s="99"/>
      <c r="V14" s="99"/>
      <c r="W14" s="99"/>
      <c r="X14" s="99"/>
      <c r="Y14" s="99"/>
      <c r="Z14" s="99"/>
      <c r="AA14" s="99"/>
      <c r="AB14" s="99"/>
      <c r="AC14" s="99"/>
      <c r="AD14" s="99"/>
      <c r="AE14" s="99"/>
      <c r="AF14" s="99"/>
      <c r="AG14" s="99"/>
      <c r="AH14" s="99"/>
      <c r="AI14" s="99"/>
      <c r="AJ14" s="99"/>
      <c r="AK14" s="99"/>
      <c r="AL14" s="99"/>
      <c r="AM14" s="99"/>
      <c r="AN14" s="99"/>
      <c r="AO14" s="99"/>
      <c r="AP14" s="99"/>
      <c r="AQ14" s="99"/>
      <c r="AR14" s="99"/>
      <c r="AS14" s="99"/>
      <c r="AT14" s="100"/>
      <c r="AU14" s="572"/>
      <c r="AV14" s="573"/>
      <c r="AW14" s="574"/>
    </row>
    <row r="15" spans="1:49" ht="15.75" customHeight="1" x14ac:dyDescent="0.25">
      <c r="A15" s="575" t="e">
        <f>IF($AB$4="","",$AB$4)</f>
        <v>#N/A</v>
      </c>
      <c r="B15" s="576"/>
      <c r="C15" s="576"/>
      <c r="D15" s="576"/>
      <c r="E15" s="576"/>
      <c r="F15" s="576"/>
      <c r="G15" s="576"/>
      <c r="H15" s="576"/>
      <c r="I15" s="576"/>
      <c r="J15" s="101"/>
      <c r="K15" s="89"/>
      <c r="L15" s="97"/>
      <c r="M15" s="97"/>
      <c r="N15" s="97"/>
      <c r="O15" s="97"/>
      <c r="P15" s="97"/>
      <c r="Q15" s="97"/>
      <c r="R15" s="97"/>
      <c r="S15" s="97"/>
      <c r="T15" s="97"/>
      <c r="U15" s="97"/>
      <c r="V15" s="97"/>
      <c r="W15" s="97"/>
      <c r="X15" s="97"/>
      <c r="Y15" s="97"/>
      <c r="Z15" s="97"/>
      <c r="AA15" s="97"/>
      <c r="AB15" s="97"/>
      <c r="AC15" s="97"/>
      <c r="AD15" s="97"/>
      <c r="AE15" s="97"/>
      <c r="AF15" s="97"/>
      <c r="AG15" s="97"/>
      <c r="AH15" s="97"/>
      <c r="AI15" s="97"/>
      <c r="AJ15" s="97"/>
      <c r="AK15" s="97"/>
      <c r="AL15" s="97"/>
      <c r="AM15" s="97"/>
      <c r="AN15" s="97"/>
      <c r="AO15" s="97"/>
      <c r="AP15" s="97"/>
      <c r="AQ15" s="97"/>
      <c r="AR15" s="97"/>
      <c r="AS15" s="97"/>
      <c r="AT15" s="98"/>
      <c r="AU15" s="386"/>
      <c r="AV15" s="577"/>
      <c r="AW15" s="578"/>
    </row>
    <row r="16" spans="1:49" ht="15.75" customHeight="1" thickBot="1" x14ac:dyDescent="0.3">
      <c r="A16" s="570" t="e">
        <f>IF($AB$5="","",$AB$5)</f>
        <v>#N/A</v>
      </c>
      <c r="B16" s="571"/>
      <c r="C16" s="571"/>
      <c r="D16" s="571"/>
      <c r="E16" s="571"/>
      <c r="F16" s="571"/>
      <c r="G16" s="571"/>
      <c r="H16" s="571"/>
      <c r="I16" s="571"/>
      <c r="J16" s="102"/>
      <c r="K16" s="91"/>
      <c r="L16" s="99"/>
      <c r="M16" s="99"/>
      <c r="N16" s="99"/>
      <c r="O16" s="99"/>
      <c r="P16" s="99"/>
      <c r="Q16" s="99"/>
      <c r="R16" s="99"/>
      <c r="S16" s="99"/>
      <c r="T16" s="99"/>
      <c r="U16" s="99"/>
      <c r="V16" s="99"/>
      <c r="W16" s="99"/>
      <c r="X16" s="99"/>
      <c r="Y16" s="99"/>
      <c r="Z16" s="99"/>
      <c r="AA16" s="99"/>
      <c r="AB16" s="99"/>
      <c r="AC16" s="99"/>
      <c r="AD16" s="99"/>
      <c r="AE16" s="99"/>
      <c r="AF16" s="99"/>
      <c r="AG16" s="99"/>
      <c r="AH16" s="99"/>
      <c r="AI16" s="99"/>
      <c r="AJ16" s="99"/>
      <c r="AK16" s="99"/>
      <c r="AL16" s="99"/>
      <c r="AM16" s="99"/>
      <c r="AN16" s="99"/>
      <c r="AO16" s="99"/>
      <c r="AP16" s="99"/>
      <c r="AQ16" s="99"/>
      <c r="AR16" s="99"/>
      <c r="AS16" s="99"/>
      <c r="AT16" s="100"/>
      <c r="AU16" s="572"/>
      <c r="AV16" s="573"/>
      <c r="AW16" s="574"/>
    </row>
    <row r="17" spans="1:49" ht="4.5" customHeight="1" thickBot="1" x14ac:dyDescent="0.3">
      <c r="A17" s="12"/>
      <c r="B17" s="12"/>
      <c r="C17" s="12"/>
      <c r="D17" s="12"/>
      <c r="E17" s="12"/>
      <c r="F17" s="12"/>
      <c r="G17" s="12"/>
      <c r="H17" s="12"/>
      <c r="I17" s="12"/>
    </row>
    <row r="18" spans="1:49" ht="15.75" customHeight="1" x14ac:dyDescent="0.25">
      <c r="A18" s="575" t="e">
        <f>IF($M$4="","",$M$4)</f>
        <v>#N/A</v>
      </c>
      <c r="B18" s="576"/>
      <c r="C18" s="576"/>
      <c r="D18" s="576"/>
      <c r="E18" s="576"/>
      <c r="F18" s="576"/>
      <c r="G18" s="576"/>
      <c r="H18" s="576"/>
      <c r="I18" s="576"/>
      <c r="J18" s="101"/>
      <c r="K18" s="89"/>
      <c r="L18" s="97"/>
      <c r="M18" s="97"/>
      <c r="N18" s="97"/>
      <c r="O18" s="97"/>
      <c r="P18" s="97"/>
      <c r="Q18" s="97"/>
      <c r="R18" s="97"/>
      <c r="S18" s="97"/>
      <c r="T18" s="97"/>
      <c r="U18" s="97"/>
      <c r="V18" s="97"/>
      <c r="W18" s="97"/>
      <c r="X18" s="97"/>
      <c r="Y18" s="97"/>
      <c r="Z18" s="97"/>
      <c r="AA18" s="97"/>
      <c r="AB18" s="97"/>
      <c r="AC18" s="97"/>
      <c r="AD18" s="97"/>
      <c r="AE18" s="97"/>
      <c r="AF18" s="97"/>
      <c r="AG18" s="97"/>
      <c r="AH18" s="97"/>
      <c r="AI18" s="97"/>
      <c r="AJ18" s="97"/>
      <c r="AK18" s="97"/>
      <c r="AL18" s="97"/>
      <c r="AM18" s="97"/>
      <c r="AN18" s="97"/>
      <c r="AO18" s="97"/>
      <c r="AP18" s="97"/>
      <c r="AQ18" s="97"/>
      <c r="AR18" s="97"/>
      <c r="AS18" s="97"/>
      <c r="AT18" s="98"/>
      <c r="AU18" s="579"/>
      <c r="AV18" s="580"/>
      <c r="AW18" s="581"/>
    </row>
    <row r="19" spans="1:49" ht="15.75" customHeight="1" thickBot="1" x14ac:dyDescent="0.3">
      <c r="A19" s="570" t="e">
        <f>IF($M$5="","",$M$5)</f>
        <v>#N/A</v>
      </c>
      <c r="B19" s="571"/>
      <c r="C19" s="571"/>
      <c r="D19" s="571"/>
      <c r="E19" s="571"/>
      <c r="F19" s="571"/>
      <c r="G19" s="571"/>
      <c r="H19" s="571"/>
      <c r="I19" s="571"/>
      <c r="J19" s="102"/>
      <c r="K19" s="91"/>
      <c r="L19" s="99"/>
      <c r="M19" s="99"/>
      <c r="N19" s="99"/>
      <c r="O19" s="99"/>
      <c r="P19" s="99"/>
      <c r="Q19" s="99"/>
      <c r="R19" s="99"/>
      <c r="S19" s="99"/>
      <c r="T19" s="99"/>
      <c r="U19" s="99"/>
      <c r="V19" s="99"/>
      <c r="W19" s="99"/>
      <c r="X19" s="99"/>
      <c r="Y19" s="99"/>
      <c r="Z19" s="99"/>
      <c r="AA19" s="99"/>
      <c r="AB19" s="99"/>
      <c r="AC19" s="99"/>
      <c r="AD19" s="99"/>
      <c r="AE19" s="99"/>
      <c r="AF19" s="99"/>
      <c r="AG19" s="99"/>
      <c r="AH19" s="99"/>
      <c r="AI19" s="99"/>
      <c r="AJ19" s="99"/>
      <c r="AK19" s="99"/>
      <c r="AL19" s="99"/>
      <c r="AM19" s="99"/>
      <c r="AN19" s="99"/>
      <c r="AO19" s="99"/>
      <c r="AP19" s="99"/>
      <c r="AQ19" s="99"/>
      <c r="AR19" s="99"/>
      <c r="AS19" s="99"/>
      <c r="AT19" s="100"/>
      <c r="AU19" s="572"/>
      <c r="AV19" s="573"/>
      <c r="AW19" s="574"/>
    </row>
    <row r="20" spans="1:49" ht="15.75" customHeight="1" x14ac:dyDescent="0.25">
      <c r="A20" s="575" t="e">
        <f>IF($AB$4="","",$AB$4)</f>
        <v>#N/A</v>
      </c>
      <c r="B20" s="576"/>
      <c r="C20" s="576"/>
      <c r="D20" s="576"/>
      <c r="E20" s="576"/>
      <c r="F20" s="576"/>
      <c r="G20" s="576"/>
      <c r="H20" s="576"/>
      <c r="I20" s="576"/>
      <c r="J20" s="101"/>
      <c r="K20" s="89"/>
      <c r="L20" s="97"/>
      <c r="M20" s="97"/>
      <c r="N20" s="97"/>
      <c r="O20" s="97"/>
      <c r="P20" s="97"/>
      <c r="Q20" s="97"/>
      <c r="R20" s="97"/>
      <c r="S20" s="97"/>
      <c r="T20" s="97"/>
      <c r="U20" s="97"/>
      <c r="V20" s="97"/>
      <c r="W20" s="97"/>
      <c r="X20" s="97"/>
      <c r="Y20" s="97"/>
      <c r="Z20" s="97"/>
      <c r="AA20" s="97"/>
      <c r="AB20" s="97"/>
      <c r="AC20" s="97"/>
      <c r="AD20" s="97"/>
      <c r="AE20" s="97"/>
      <c r="AF20" s="97"/>
      <c r="AG20" s="97"/>
      <c r="AH20" s="97"/>
      <c r="AI20" s="97"/>
      <c r="AJ20" s="97"/>
      <c r="AK20" s="97"/>
      <c r="AL20" s="97"/>
      <c r="AM20" s="97"/>
      <c r="AN20" s="97"/>
      <c r="AO20" s="97"/>
      <c r="AP20" s="97"/>
      <c r="AQ20" s="97"/>
      <c r="AR20" s="97"/>
      <c r="AS20" s="97"/>
      <c r="AT20" s="98"/>
      <c r="AU20" s="386"/>
      <c r="AV20" s="577"/>
      <c r="AW20" s="578"/>
    </row>
    <row r="21" spans="1:49" ht="15.75" customHeight="1" thickBot="1" x14ac:dyDescent="0.3">
      <c r="A21" s="570" t="e">
        <f>IF($AB$5="","",$AB$5)</f>
        <v>#N/A</v>
      </c>
      <c r="B21" s="571"/>
      <c r="C21" s="571"/>
      <c r="D21" s="571"/>
      <c r="E21" s="571"/>
      <c r="F21" s="571"/>
      <c r="G21" s="571"/>
      <c r="H21" s="571"/>
      <c r="I21" s="571"/>
      <c r="J21" s="102"/>
      <c r="K21" s="91"/>
      <c r="L21" s="99"/>
      <c r="M21" s="99"/>
      <c r="N21" s="99"/>
      <c r="O21" s="99"/>
      <c r="P21" s="99"/>
      <c r="Q21" s="99"/>
      <c r="R21" s="99"/>
      <c r="S21" s="99"/>
      <c r="T21" s="99"/>
      <c r="U21" s="99"/>
      <c r="V21" s="99"/>
      <c r="W21" s="99"/>
      <c r="X21" s="99"/>
      <c r="Y21" s="99"/>
      <c r="Z21" s="99"/>
      <c r="AA21" s="99"/>
      <c r="AB21" s="99"/>
      <c r="AC21" s="99"/>
      <c r="AD21" s="99"/>
      <c r="AE21" s="99"/>
      <c r="AF21" s="99"/>
      <c r="AG21" s="99"/>
      <c r="AH21" s="99"/>
      <c r="AI21" s="99"/>
      <c r="AJ21" s="99"/>
      <c r="AK21" s="99"/>
      <c r="AL21" s="99"/>
      <c r="AM21" s="99"/>
      <c r="AN21" s="99"/>
      <c r="AO21" s="99"/>
      <c r="AP21" s="99"/>
      <c r="AQ21" s="99"/>
      <c r="AR21" s="99"/>
      <c r="AS21" s="99"/>
      <c r="AT21" s="100"/>
      <c r="AU21" s="572"/>
      <c r="AV21" s="573"/>
      <c r="AW21" s="574"/>
    </row>
    <row r="22" spans="1:49" ht="4.5" customHeight="1" thickBot="1" x14ac:dyDescent="0.3">
      <c r="A22" s="12"/>
      <c r="B22" s="12"/>
      <c r="C22" s="12"/>
      <c r="D22" s="12"/>
      <c r="E22" s="12"/>
      <c r="F22" s="12"/>
      <c r="G22" s="12"/>
      <c r="H22" s="12"/>
      <c r="I22" s="12"/>
    </row>
    <row r="23" spans="1:49" ht="15.75" customHeight="1" x14ac:dyDescent="0.25">
      <c r="A23" s="575" t="e">
        <f>IF($M$4="","",$M$4)</f>
        <v>#N/A</v>
      </c>
      <c r="B23" s="576"/>
      <c r="C23" s="576"/>
      <c r="D23" s="576"/>
      <c r="E23" s="576"/>
      <c r="F23" s="576"/>
      <c r="G23" s="576"/>
      <c r="H23" s="576"/>
      <c r="I23" s="576"/>
      <c r="J23" s="101"/>
      <c r="K23" s="89"/>
      <c r="L23" s="97"/>
      <c r="M23" s="97"/>
      <c r="N23" s="97"/>
      <c r="O23" s="97"/>
      <c r="P23" s="97"/>
      <c r="Q23" s="97"/>
      <c r="R23" s="97"/>
      <c r="S23" s="97"/>
      <c r="T23" s="97"/>
      <c r="U23" s="97"/>
      <c r="V23" s="97"/>
      <c r="W23" s="97"/>
      <c r="X23" s="97"/>
      <c r="Y23" s="97"/>
      <c r="Z23" s="97"/>
      <c r="AA23" s="97"/>
      <c r="AB23" s="97"/>
      <c r="AC23" s="97"/>
      <c r="AD23" s="97"/>
      <c r="AE23" s="97"/>
      <c r="AF23" s="97"/>
      <c r="AG23" s="97"/>
      <c r="AH23" s="97"/>
      <c r="AI23" s="97"/>
      <c r="AJ23" s="97"/>
      <c r="AK23" s="97"/>
      <c r="AL23" s="97"/>
      <c r="AM23" s="97"/>
      <c r="AN23" s="97"/>
      <c r="AO23" s="97"/>
      <c r="AP23" s="97"/>
      <c r="AQ23" s="97"/>
      <c r="AR23" s="97"/>
      <c r="AS23" s="97"/>
      <c r="AT23" s="98"/>
      <c r="AU23" s="579"/>
      <c r="AV23" s="580"/>
      <c r="AW23" s="581"/>
    </row>
    <row r="24" spans="1:49" ht="15.75" customHeight="1" thickBot="1" x14ac:dyDescent="0.3">
      <c r="A24" s="570" t="e">
        <f>IF($M$5="","",$M$5)</f>
        <v>#N/A</v>
      </c>
      <c r="B24" s="571"/>
      <c r="C24" s="571"/>
      <c r="D24" s="571"/>
      <c r="E24" s="571"/>
      <c r="F24" s="571"/>
      <c r="G24" s="571"/>
      <c r="H24" s="571"/>
      <c r="I24" s="571"/>
      <c r="J24" s="102"/>
      <c r="K24" s="91"/>
      <c r="L24" s="99"/>
      <c r="M24" s="99"/>
      <c r="N24" s="99"/>
      <c r="O24" s="99"/>
      <c r="P24" s="99"/>
      <c r="Q24" s="99"/>
      <c r="R24" s="99"/>
      <c r="S24" s="99"/>
      <c r="T24" s="99"/>
      <c r="U24" s="99"/>
      <c r="V24" s="99"/>
      <c r="W24" s="99"/>
      <c r="X24" s="99"/>
      <c r="Y24" s="99"/>
      <c r="Z24" s="99"/>
      <c r="AA24" s="99"/>
      <c r="AB24" s="99"/>
      <c r="AC24" s="99"/>
      <c r="AD24" s="99"/>
      <c r="AE24" s="99"/>
      <c r="AF24" s="99"/>
      <c r="AG24" s="99"/>
      <c r="AH24" s="99"/>
      <c r="AI24" s="99"/>
      <c r="AJ24" s="99"/>
      <c r="AK24" s="99"/>
      <c r="AL24" s="99"/>
      <c r="AM24" s="99"/>
      <c r="AN24" s="99"/>
      <c r="AO24" s="99"/>
      <c r="AP24" s="99"/>
      <c r="AQ24" s="99"/>
      <c r="AR24" s="99"/>
      <c r="AS24" s="99"/>
      <c r="AT24" s="100"/>
      <c r="AU24" s="572"/>
      <c r="AV24" s="573"/>
      <c r="AW24" s="574"/>
    </row>
    <row r="25" spans="1:49" ht="15.75" customHeight="1" x14ac:dyDescent="0.25">
      <c r="A25" s="575" t="e">
        <f>IF($AB$4="","",$AB$4)</f>
        <v>#N/A</v>
      </c>
      <c r="B25" s="576"/>
      <c r="C25" s="576"/>
      <c r="D25" s="576"/>
      <c r="E25" s="576"/>
      <c r="F25" s="576"/>
      <c r="G25" s="576"/>
      <c r="H25" s="576"/>
      <c r="I25" s="576"/>
      <c r="J25" s="101"/>
      <c r="K25" s="89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97"/>
      <c r="AC25" s="97"/>
      <c r="AD25" s="97"/>
      <c r="AE25" s="97"/>
      <c r="AF25" s="97"/>
      <c r="AG25" s="97"/>
      <c r="AH25" s="97"/>
      <c r="AI25" s="97"/>
      <c r="AJ25" s="97"/>
      <c r="AK25" s="97"/>
      <c r="AL25" s="97"/>
      <c r="AM25" s="97"/>
      <c r="AN25" s="97"/>
      <c r="AO25" s="97"/>
      <c r="AP25" s="97"/>
      <c r="AQ25" s="97"/>
      <c r="AR25" s="97"/>
      <c r="AS25" s="97"/>
      <c r="AT25" s="98"/>
      <c r="AU25" s="386"/>
      <c r="AV25" s="577"/>
      <c r="AW25" s="578"/>
    </row>
    <row r="26" spans="1:49" ht="15.75" customHeight="1" thickBot="1" x14ac:dyDescent="0.3">
      <c r="A26" s="570" t="e">
        <f>IF($AB$5="","",$AB$5)</f>
        <v>#N/A</v>
      </c>
      <c r="B26" s="571"/>
      <c r="C26" s="571"/>
      <c r="D26" s="571"/>
      <c r="E26" s="571"/>
      <c r="F26" s="571"/>
      <c r="G26" s="571"/>
      <c r="H26" s="571"/>
      <c r="I26" s="571"/>
      <c r="J26" s="102"/>
      <c r="K26" s="91"/>
      <c r="L26" s="99"/>
      <c r="M26" s="99"/>
      <c r="N26" s="99"/>
      <c r="O26" s="99"/>
      <c r="P26" s="99"/>
      <c r="Q26" s="99"/>
      <c r="R26" s="99"/>
      <c r="S26" s="99"/>
      <c r="T26" s="99"/>
      <c r="U26" s="99"/>
      <c r="V26" s="99"/>
      <c r="W26" s="99"/>
      <c r="X26" s="99"/>
      <c r="Y26" s="99"/>
      <c r="Z26" s="99"/>
      <c r="AA26" s="99"/>
      <c r="AB26" s="99"/>
      <c r="AC26" s="99"/>
      <c r="AD26" s="99"/>
      <c r="AE26" s="99"/>
      <c r="AF26" s="99"/>
      <c r="AG26" s="99"/>
      <c r="AH26" s="99"/>
      <c r="AI26" s="99"/>
      <c r="AJ26" s="99"/>
      <c r="AK26" s="99"/>
      <c r="AL26" s="99"/>
      <c r="AM26" s="99"/>
      <c r="AN26" s="99"/>
      <c r="AO26" s="99"/>
      <c r="AP26" s="99"/>
      <c r="AQ26" s="99"/>
      <c r="AR26" s="99"/>
      <c r="AS26" s="99"/>
      <c r="AT26" s="100"/>
      <c r="AU26" s="572"/>
      <c r="AV26" s="573"/>
      <c r="AW26" s="574"/>
    </row>
    <row r="27" spans="1:49" ht="4.5" customHeight="1" thickBot="1" x14ac:dyDescent="0.3">
      <c r="A27" s="12"/>
      <c r="B27" s="12"/>
      <c r="C27" s="12"/>
      <c r="D27" s="12"/>
      <c r="E27" s="12"/>
      <c r="F27" s="12"/>
      <c r="G27" s="12"/>
      <c r="H27" s="12"/>
      <c r="I27" s="12"/>
    </row>
    <row r="28" spans="1:49" ht="15.75" customHeight="1" x14ac:dyDescent="0.25">
      <c r="A28" s="575" t="e">
        <f>IF($M$4="","",$M$4)</f>
        <v>#N/A</v>
      </c>
      <c r="B28" s="576"/>
      <c r="C28" s="576"/>
      <c r="D28" s="576"/>
      <c r="E28" s="576"/>
      <c r="F28" s="576"/>
      <c r="G28" s="576"/>
      <c r="H28" s="576"/>
      <c r="I28" s="576"/>
      <c r="J28" s="101"/>
      <c r="K28" s="89"/>
      <c r="L28" s="97"/>
      <c r="M28" s="97"/>
      <c r="N28" s="97"/>
      <c r="O28" s="97"/>
      <c r="P28" s="97"/>
      <c r="Q28" s="97"/>
      <c r="R28" s="97"/>
      <c r="S28" s="97"/>
      <c r="T28" s="97"/>
      <c r="U28" s="97"/>
      <c r="V28" s="97"/>
      <c r="W28" s="97"/>
      <c r="X28" s="97"/>
      <c r="Y28" s="97"/>
      <c r="Z28" s="97"/>
      <c r="AA28" s="97"/>
      <c r="AB28" s="97"/>
      <c r="AC28" s="97"/>
      <c r="AD28" s="97"/>
      <c r="AE28" s="97"/>
      <c r="AF28" s="97"/>
      <c r="AG28" s="97"/>
      <c r="AH28" s="97"/>
      <c r="AI28" s="97"/>
      <c r="AJ28" s="97"/>
      <c r="AK28" s="97"/>
      <c r="AL28" s="97"/>
      <c r="AM28" s="97"/>
      <c r="AN28" s="97"/>
      <c r="AO28" s="97"/>
      <c r="AP28" s="97"/>
      <c r="AQ28" s="97"/>
      <c r="AR28" s="97"/>
      <c r="AS28" s="97"/>
      <c r="AT28" s="98"/>
      <c r="AU28" s="579"/>
      <c r="AV28" s="580"/>
      <c r="AW28" s="581"/>
    </row>
    <row r="29" spans="1:49" ht="15.75" customHeight="1" thickBot="1" x14ac:dyDescent="0.3">
      <c r="A29" s="570" t="e">
        <f>IF($M$5="","",$M$5)</f>
        <v>#N/A</v>
      </c>
      <c r="B29" s="571"/>
      <c r="C29" s="571"/>
      <c r="D29" s="571"/>
      <c r="E29" s="571"/>
      <c r="F29" s="571"/>
      <c r="G29" s="571"/>
      <c r="H29" s="571"/>
      <c r="I29" s="571"/>
      <c r="J29" s="102"/>
      <c r="K29" s="91"/>
      <c r="L29" s="99"/>
      <c r="M29" s="99"/>
      <c r="N29" s="99"/>
      <c r="O29" s="99"/>
      <c r="P29" s="99"/>
      <c r="Q29" s="99"/>
      <c r="R29" s="99"/>
      <c r="S29" s="99"/>
      <c r="T29" s="99"/>
      <c r="U29" s="99"/>
      <c r="V29" s="99"/>
      <c r="W29" s="99"/>
      <c r="X29" s="99"/>
      <c r="Y29" s="99"/>
      <c r="Z29" s="99"/>
      <c r="AA29" s="99"/>
      <c r="AB29" s="99"/>
      <c r="AC29" s="99"/>
      <c r="AD29" s="99"/>
      <c r="AE29" s="99"/>
      <c r="AF29" s="99"/>
      <c r="AG29" s="99"/>
      <c r="AH29" s="99"/>
      <c r="AI29" s="99"/>
      <c r="AJ29" s="99"/>
      <c r="AK29" s="99"/>
      <c r="AL29" s="99"/>
      <c r="AM29" s="99"/>
      <c r="AN29" s="99"/>
      <c r="AO29" s="99"/>
      <c r="AP29" s="99"/>
      <c r="AQ29" s="99"/>
      <c r="AR29" s="99"/>
      <c r="AS29" s="99"/>
      <c r="AT29" s="100"/>
      <c r="AU29" s="572"/>
      <c r="AV29" s="573"/>
      <c r="AW29" s="574"/>
    </row>
    <row r="30" spans="1:49" ht="15.75" customHeight="1" x14ac:dyDescent="0.25">
      <c r="A30" s="575" t="e">
        <f>IF($AB$4="","",$AB$4)</f>
        <v>#N/A</v>
      </c>
      <c r="B30" s="576"/>
      <c r="C30" s="576"/>
      <c r="D30" s="576"/>
      <c r="E30" s="576"/>
      <c r="F30" s="576"/>
      <c r="G30" s="576"/>
      <c r="H30" s="576"/>
      <c r="I30" s="576"/>
      <c r="J30" s="101"/>
      <c r="K30" s="89"/>
      <c r="L30" s="97"/>
      <c r="M30" s="97"/>
      <c r="N30" s="97"/>
      <c r="O30" s="97"/>
      <c r="P30" s="97"/>
      <c r="Q30" s="97"/>
      <c r="R30" s="97"/>
      <c r="S30" s="97"/>
      <c r="T30" s="97"/>
      <c r="U30" s="97"/>
      <c r="V30" s="97"/>
      <c r="W30" s="97"/>
      <c r="X30" s="97"/>
      <c r="Y30" s="97"/>
      <c r="Z30" s="97"/>
      <c r="AA30" s="97"/>
      <c r="AB30" s="97"/>
      <c r="AC30" s="97"/>
      <c r="AD30" s="97"/>
      <c r="AE30" s="97"/>
      <c r="AF30" s="97"/>
      <c r="AG30" s="97"/>
      <c r="AH30" s="97"/>
      <c r="AI30" s="97"/>
      <c r="AJ30" s="97"/>
      <c r="AK30" s="97"/>
      <c r="AL30" s="97"/>
      <c r="AM30" s="97"/>
      <c r="AN30" s="97"/>
      <c r="AO30" s="97"/>
      <c r="AP30" s="97"/>
      <c r="AQ30" s="97"/>
      <c r="AR30" s="97"/>
      <c r="AS30" s="97"/>
      <c r="AT30" s="98"/>
      <c r="AU30" s="386"/>
      <c r="AV30" s="577"/>
      <c r="AW30" s="578"/>
    </row>
    <row r="31" spans="1:49" ht="15.75" customHeight="1" thickBot="1" x14ac:dyDescent="0.3">
      <c r="A31" s="570" t="e">
        <f>IF($AB$5="","",$AB$5)</f>
        <v>#N/A</v>
      </c>
      <c r="B31" s="571"/>
      <c r="C31" s="571"/>
      <c r="D31" s="571"/>
      <c r="E31" s="571"/>
      <c r="F31" s="571"/>
      <c r="G31" s="571"/>
      <c r="H31" s="571"/>
      <c r="I31" s="571"/>
      <c r="J31" s="102"/>
      <c r="K31" s="91"/>
      <c r="L31" s="99"/>
      <c r="M31" s="99"/>
      <c r="N31" s="99"/>
      <c r="O31" s="99"/>
      <c r="P31" s="99"/>
      <c r="Q31" s="99"/>
      <c r="R31" s="99"/>
      <c r="S31" s="99"/>
      <c r="T31" s="99"/>
      <c r="U31" s="99"/>
      <c r="V31" s="99"/>
      <c r="W31" s="99"/>
      <c r="X31" s="99"/>
      <c r="Y31" s="99"/>
      <c r="Z31" s="99"/>
      <c r="AA31" s="99"/>
      <c r="AB31" s="99"/>
      <c r="AC31" s="99"/>
      <c r="AD31" s="99"/>
      <c r="AE31" s="99"/>
      <c r="AF31" s="99"/>
      <c r="AG31" s="99"/>
      <c r="AH31" s="99"/>
      <c r="AI31" s="99"/>
      <c r="AJ31" s="99"/>
      <c r="AK31" s="99"/>
      <c r="AL31" s="99"/>
      <c r="AM31" s="99"/>
      <c r="AN31" s="99"/>
      <c r="AO31" s="99"/>
      <c r="AP31" s="99"/>
      <c r="AQ31" s="99"/>
      <c r="AR31" s="99"/>
      <c r="AS31" s="99"/>
      <c r="AT31" s="100"/>
      <c r="AU31" s="572"/>
      <c r="AV31" s="573"/>
      <c r="AW31" s="574"/>
    </row>
    <row r="32" spans="1:49" ht="4.5" customHeight="1" thickBot="1" x14ac:dyDescent="0.3">
      <c r="A32" s="12"/>
      <c r="B32" s="12"/>
      <c r="C32" s="12"/>
      <c r="D32" s="12"/>
      <c r="E32" s="12"/>
      <c r="F32" s="12"/>
      <c r="G32" s="12"/>
      <c r="H32" s="12"/>
      <c r="I32" s="12"/>
    </row>
    <row r="33" spans="1:49" ht="15.75" customHeight="1" x14ac:dyDescent="0.25">
      <c r="A33" s="575" t="e">
        <f>IF($M$4="","",$M$4)</f>
        <v>#N/A</v>
      </c>
      <c r="B33" s="576"/>
      <c r="C33" s="576"/>
      <c r="D33" s="576"/>
      <c r="E33" s="576"/>
      <c r="F33" s="576"/>
      <c r="G33" s="576"/>
      <c r="H33" s="576"/>
      <c r="I33" s="576"/>
      <c r="J33" s="101"/>
      <c r="K33" s="89"/>
      <c r="L33" s="97"/>
      <c r="M33" s="97"/>
      <c r="N33" s="97"/>
      <c r="O33" s="97"/>
      <c r="P33" s="97"/>
      <c r="Q33" s="97"/>
      <c r="R33" s="97"/>
      <c r="S33" s="97"/>
      <c r="T33" s="97"/>
      <c r="U33" s="97"/>
      <c r="V33" s="97"/>
      <c r="W33" s="97"/>
      <c r="X33" s="97"/>
      <c r="Y33" s="97"/>
      <c r="Z33" s="97"/>
      <c r="AA33" s="97"/>
      <c r="AB33" s="97"/>
      <c r="AC33" s="97"/>
      <c r="AD33" s="97"/>
      <c r="AE33" s="97"/>
      <c r="AF33" s="97"/>
      <c r="AG33" s="97"/>
      <c r="AH33" s="97"/>
      <c r="AI33" s="97"/>
      <c r="AJ33" s="97"/>
      <c r="AK33" s="97"/>
      <c r="AL33" s="97"/>
      <c r="AM33" s="97"/>
      <c r="AN33" s="97"/>
      <c r="AO33" s="97"/>
      <c r="AP33" s="97"/>
      <c r="AQ33" s="97"/>
      <c r="AR33" s="97"/>
      <c r="AS33" s="97"/>
      <c r="AT33" s="98"/>
      <c r="AU33" s="579"/>
      <c r="AV33" s="580"/>
      <c r="AW33" s="581"/>
    </row>
    <row r="34" spans="1:49" ht="15.75" customHeight="1" thickBot="1" x14ac:dyDescent="0.3">
      <c r="A34" s="570" t="e">
        <f>IF($M$5="","",$M$5)</f>
        <v>#N/A</v>
      </c>
      <c r="B34" s="571"/>
      <c r="C34" s="571"/>
      <c r="D34" s="571"/>
      <c r="E34" s="571"/>
      <c r="F34" s="571"/>
      <c r="G34" s="571"/>
      <c r="H34" s="571"/>
      <c r="I34" s="571"/>
      <c r="J34" s="102"/>
      <c r="K34" s="91"/>
      <c r="L34" s="99"/>
      <c r="M34" s="99"/>
      <c r="N34" s="99"/>
      <c r="O34" s="99"/>
      <c r="P34" s="99"/>
      <c r="Q34" s="99"/>
      <c r="R34" s="99"/>
      <c r="S34" s="99"/>
      <c r="T34" s="99"/>
      <c r="U34" s="99"/>
      <c r="V34" s="99"/>
      <c r="W34" s="99"/>
      <c r="X34" s="99"/>
      <c r="Y34" s="99"/>
      <c r="Z34" s="99"/>
      <c r="AA34" s="99"/>
      <c r="AB34" s="99"/>
      <c r="AC34" s="99"/>
      <c r="AD34" s="99"/>
      <c r="AE34" s="99"/>
      <c r="AF34" s="99"/>
      <c r="AG34" s="99"/>
      <c r="AH34" s="99"/>
      <c r="AI34" s="99"/>
      <c r="AJ34" s="99"/>
      <c r="AK34" s="99"/>
      <c r="AL34" s="99"/>
      <c r="AM34" s="99"/>
      <c r="AN34" s="99"/>
      <c r="AO34" s="99"/>
      <c r="AP34" s="99"/>
      <c r="AQ34" s="99"/>
      <c r="AR34" s="99"/>
      <c r="AS34" s="99"/>
      <c r="AT34" s="100"/>
      <c r="AU34" s="572"/>
      <c r="AV34" s="573"/>
      <c r="AW34" s="574"/>
    </row>
    <row r="35" spans="1:49" ht="15.75" customHeight="1" x14ac:dyDescent="0.25">
      <c r="A35" s="575" t="e">
        <f>IF($AB$4="","",$AB$4)</f>
        <v>#N/A</v>
      </c>
      <c r="B35" s="576"/>
      <c r="C35" s="576"/>
      <c r="D35" s="576"/>
      <c r="E35" s="576"/>
      <c r="F35" s="576"/>
      <c r="G35" s="576"/>
      <c r="H35" s="576"/>
      <c r="I35" s="576"/>
      <c r="J35" s="101"/>
      <c r="K35" s="89"/>
      <c r="L35" s="97"/>
      <c r="M35" s="97"/>
      <c r="N35" s="97"/>
      <c r="O35" s="97"/>
      <c r="P35" s="97"/>
      <c r="Q35" s="97"/>
      <c r="R35" s="97"/>
      <c r="S35" s="97"/>
      <c r="T35" s="97"/>
      <c r="U35" s="97"/>
      <c r="V35" s="97"/>
      <c r="W35" s="97"/>
      <c r="X35" s="97"/>
      <c r="Y35" s="97"/>
      <c r="Z35" s="97"/>
      <c r="AA35" s="97"/>
      <c r="AB35" s="97"/>
      <c r="AC35" s="97"/>
      <c r="AD35" s="97"/>
      <c r="AE35" s="97"/>
      <c r="AF35" s="97"/>
      <c r="AG35" s="97"/>
      <c r="AH35" s="97"/>
      <c r="AI35" s="97"/>
      <c r="AJ35" s="97"/>
      <c r="AK35" s="97"/>
      <c r="AL35" s="97"/>
      <c r="AM35" s="97"/>
      <c r="AN35" s="97"/>
      <c r="AO35" s="97"/>
      <c r="AP35" s="97"/>
      <c r="AQ35" s="97"/>
      <c r="AR35" s="97"/>
      <c r="AS35" s="97"/>
      <c r="AT35" s="98"/>
      <c r="AU35" s="386"/>
      <c r="AV35" s="577"/>
      <c r="AW35" s="578"/>
    </row>
    <row r="36" spans="1:49" ht="15.75" customHeight="1" thickBot="1" x14ac:dyDescent="0.3">
      <c r="A36" s="570" t="e">
        <f>IF($AB$5="","",$AB$5)</f>
        <v>#N/A</v>
      </c>
      <c r="B36" s="571"/>
      <c r="C36" s="571"/>
      <c r="D36" s="571"/>
      <c r="E36" s="571"/>
      <c r="F36" s="571"/>
      <c r="G36" s="571"/>
      <c r="H36" s="571"/>
      <c r="I36" s="571"/>
      <c r="J36" s="102"/>
      <c r="K36" s="91"/>
      <c r="L36" s="99"/>
      <c r="M36" s="99"/>
      <c r="N36" s="99"/>
      <c r="O36" s="99"/>
      <c r="P36" s="99"/>
      <c r="Q36" s="99"/>
      <c r="R36" s="99"/>
      <c r="S36" s="99"/>
      <c r="T36" s="99"/>
      <c r="U36" s="99"/>
      <c r="V36" s="99"/>
      <c r="W36" s="99"/>
      <c r="X36" s="99"/>
      <c r="Y36" s="99"/>
      <c r="Z36" s="99"/>
      <c r="AA36" s="99"/>
      <c r="AB36" s="99"/>
      <c r="AC36" s="99"/>
      <c r="AD36" s="99"/>
      <c r="AE36" s="99"/>
      <c r="AF36" s="99"/>
      <c r="AG36" s="99"/>
      <c r="AH36" s="99"/>
      <c r="AI36" s="99"/>
      <c r="AJ36" s="99"/>
      <c r="AK36" s="99"/>
      <c r="AL36" s="99"/>
      <c r="AM36" s="99"/>
      <c r="AN36" s="99"/>
      <c r="AO36" s="99"/>
      <c r="AP36" s="99"/>
      <c r="AQ36" s="99"/>
      <c r="AR36" s="99"/>
      <c r="AS36" s="99"/>
      <c r="AT36" s="100"/>
      <c r="AU36" s="572"/>
      <c r="AV36" s="573"/>
      <c r="AW36" s="574"/>
    </row>
    <row r="37" spans="1:49" ht="4.5" customHeight="1" x14ac:dyDescent="0.25"/>
    <row r="40" spans="1:49" x14ac:dyDescent="0.25">
      <c r="M40" t="s">
        <v>340</v>
      </c>
      <c r="R40" s="103"/>
      <c r="S40" s="103"/>
      <c r="T40" s="103"/>
      <c r="U40" s="103"/>
      <c r="V40" s="103"/>
      <c r="W40" s="103"/>
      <c r="X40" s="103"/>
      <c r="Y40" s="103"/>
      <c r="Z40" s="103"/>
      <c r="AA40" s="103"/>
      <c r="AB40" s="103"/>
      <c r="AC40" s="103"/>
      <c r="AD40" s="103"/>
      <c r="AF40" t="s">
        <v>284</v>
      </c>
      <c r="AK40" s="103"/>
      <c r="AL40" s="103"/>
      <c r="AM40" s="103"/>
      <c r="AN40" s="103"/>
      <c r="AO40" s="103"/>
      <c r="AP40" s="103"/>
      <c r="AQ40" s="103"/>
      <c r="AR40" s="103"/>
      <c r="AS40" s="103"/>
      <c r="AT40" s="103"/>
      <c r="AU40" s="103"/>
      <c r="AV40" s="103"/>
      <c r="AW40" s="103"/>
    </row>
    <row r="41" spans="1:49" x14ac:dyDescent="0.25">
      <c r="A41" s="591" t="s">
        <v>208</v>
      </c>
      <c r="B41" s="591"/>
      <c r="C41" s="591"/>
      <c r="D41" s="591"/>
      <c r="E41" s="591"/>
      <c r="F41" s="591"/>
      <c r="G41" s="591"/>
      <c r="H41" s="591"/>
      <c r="I41" s="591"/>
      <c r="J41" s="591"/>
      <c r="K41" s="591"/>
      <c r="L41" s="591"/>
      <c r="M41" s="591"/>
      <c r="N41" s="591"/>
      <c r="O41" s="591"/>
      <c r="P41" s="591"/>
      <c r="Q41" s="591"/>
      <c r="R41" s="591"/>
      <c r="S41" s="591"/>
      <c r="T41" s="591"/>
      <c r="U41" s="591"/>
      <c r="V41" s="591"/>
      <c r="W41" s="591"/>
      <c r="X41" s="591"/>
      <c r="Y41" s="591"/>
      <c r="Z41" s="591"/>
      <c r="AA41" s="591"/>
      <c r="AB41" s="591"/>
      <c r="AC41" s="591"/>
      <c r="AD41" s="591"/>
      <c r="AE41" s="591"/>
      <c r="AF41" s="591"/>
      <c r="AG41" s="591"/>
      <c r="AH41" s="591"/>
      <c r="AI41" s="591"/>
      <c r="AJ41" s="591"/>
      <c r="AK41" s="591"/>
      <c r="AL41" s="591"/>
      <c r="AM41" s="591"/>
      <c r="AN41" s="591"/>
      <c r="AO41" s="591"/>
      <c r="AP41" s="591"/>
      <c r="AQ41" s="591"/>
      <c r="AR41" s="591"/>
      <c r="AS41" s="591"/>
      <c r="AT41" s="591"/>
      <c r="AU41" s="591"/>
      <c r="AV41" s="591"/>
      <c r="AW41" s="591"/>
    </row>
    <row r="42" spans="1:49" x14ac:dyDescent="0.25">
      <c r="A42" s="591"/>
      <c r="B42" s="591"/>
      <c r="C42" s="591"/>
      <c r="D42" s="591"/>
      <c r="E42" s="591"/>
      <c r="F42" s="591"/>
      <c r="G42" s="591"/>
      <c r="H42" s="591"/>
      <c r="I42" s="591"/>
      <c r="J42" s="591"/>
      <c r="K42" s="591"/>
      <c r="L42" s="591"/>
      <c r="M42" s="591"/>
      <c r="N42" s="591"/>
      <c r="O42" s="591"/>
      <c r="P42" s="591"/>
      <c r="Q42" s="591"/>
      <c r="R42" s="591"/>
      <c r="S42" s="591"/>
      <c r="T42" s="591"/>
      <c r="U42" s="591"/>
      <c r="V42" s="591"/>
      <c r="W42" s="591"/>
      <c r="X42" s="591"/>
      <c r="Y42" s="591"/>
      <c r="Z42" s="591"/>
      <c r="AA42" s="591"/>
      <c r="AB42" s="591"/>
      <c r="AC42" s="591"/>
      <c r="AD42" s="591"/>
      <c r="AE42" s="591"/>
      <c r="AF42" s="591"/>
      <c r="AG42" s="591"/>
      <c r="AH42" s="591"/>
      <c r="AI42" s="591"/>
      <c r="AJ42" s="591"/>
      <c r="AK42" s="591"/>
      <c r="AL42" s="591"/>
      <c r="AM42" s="591"/>
      <c r="AN42" s="591"/>
      <c r="AO42" s="591"/>
      <c r="AP42" s="591"/>
      <c r="AQ42" s="591"/>
      <c r="AR42" s="591"/>
      <c r="AS42" s="591"/>
      <c r="AT42" s="591"/>
      <c r="AU42" s="591"/>
      <c r="AV42" s="591"/>
      <c r="AW42" s="591"/>
    </row>
    <row r="43" spans="1:49" ht="15.75" thickBot="1" x14ac:dyDescent="0.3">
      <c r="B43" t="s">
        <v>331</v>
      </c>
      <c r="E43" s="583" t="s">
        <v>53</v>
      </c>
      <c r="F43" s="583"/>
      <c r="G43" s="583"/>
      <c r="H43" s="583"/>
      <c r="I43" s="208">
        <f>Spielbericht!A11</f>
        <v>0</v>
      </c>
      <c r="J43" s="208"/>
      <c r="K43" s="208"/>
      <c r="L43" s="592" t="s">
        <v>334</v>
      </c>
      <c r="M43" s="592"/>
      <c r="N43" s="592"/>
      <c r="O43" s="592"/>
      <c r="P43" s="592"/>
      <c r="Q43" s="592"/>
      <c r="R43" s="592"/>
      <c r="S43" s="592"/>
      <c r="T43" s="592"/>
      <c r="U43" s="592"/>
      <c r="V43" s="592"/>
      <c r="W43" s="592"/>
      <c r="X43" s="592"/>
      <c r="Y43" s="592"/>
      <c r="Z43" s="592"/>
      <c r="AA43" s="592"/>
      <c r="AB43" s="592"/>
      <c r="AC43" s="592"/>
      <c r="AD43" s="592"/>
      <c r="AE43" s="592"/>
      <c r="AF43" s="592"/>
      <c r="AG43" s="592"/>
      <c r="AH43" s="592"/>
      <c r="AI43" s="592"/>
      <c r="AJ43" s="592"/>
      <c r="AK43" s="592"/>
      <c r="AL43" s="592"/>
    </row>
    <row r="44" spans="1:49" ht="15.75" thickBot="1" x14ac:dyDescent="0.3">
      <c r="B44" t="s">
        <v>336</v>
      </c>
      <c r="E44" s="583">
        <f ca="1">E6</f>
        <v>42418</v>
      </c>
      <c r="F44" s="208"/>
      <c r="G44" s="208"/>
      <c r="H44" s="208"/>
      <c r="I44" s="208"/>
      <c r="J44" s="208"/>
      <c r="K44" s="208"/>
      <c r="L44" s="94"/>
      <c r="M44" s="584" t="e">
        <f>Spielbericht!K11</f>
        <v>#N/A</v>
      </c>
      <c r="N44" s="585"/>
      <c r="O44" s="585"/>
      <c r="P44" s="585"/>
      <c r="Q44" s="585"/>
      <c r="R44" s="585"/>
      <c r="S44" s="585"/>
      <c r="T44" s="585"/>
      <c r="U44" s="586"/>
      <c r="V44" s="95" t="s">
        <v>337</v>
      </c>
      <c r="W44" s="580" t="str">
        <f>IF(Spielbericht!BN11="","",Spielbericht!BN11)</f>
        <v/>
      </c>
      <c r="X44" s="580"/>
      <c r="Y44" s="111" t="s">
        <v>301</v>
      </c>
      <c r="Z44" s="580" t="str">
        <f>IF(Spielbericht!BQ11="","",Spielbericht!BQ11)</f>
        <v/>
      </c>
      <c r="AA44" s="581"/>
      <c r="AB44" s="584" t="e">
        <f>Spielbericht!AN11</f>
        <v>#N/A</v>
      </c>
      <c r="AC44" s="585"/>
      <c r="AD44" s="585"/>
      <c r="AE44" s="585"/>
      <c r="AF44" s="585"/>
      <c r="AG44" s="585"/>
      <c r="AH44" s="585"/>
      <c r="AI44" s="585"/>
      <c r="AJ44" s="586"/>
      <c r="AK44" s="93"/>
      <c r="AM44" s="58" t="s">
        <v>29</v>
      </c>
      <c r="AQ44" s="4"/>
      <c r="AR44" s="4"/>
      <c r="AS44" s="4"/>
      <c r="AT44" s="4"/>
      <c r="AU44" s="4"/>
      <c r="AV44" s="4"/>
      <c r="AW44" s="4"/>
    </row>
    <row r="45" spans="1:49" ht="15.75" thickBot="1" x14ac:dyDescent="0.3">
      <c r="B45" t="s">
        <v>335</v>
      </c>
      <c r="E45" s="382"/>
      <c r="F45" s="382"/>
      <c r="G45" s="382"/>
      <c r="H45" s="382"/>
      <c r="I45" s="382"/>
      <c r="J45" s="382"/>
      <c r="K45" s="382"/>
      <c r="M45" s="587" t="e">
        <f>Spielbericht!K12</f>
        <v>#N/A</v>
      </c>
      <c r="N45" s="588"/>
      <c r="O45" s="588"/>
      <c r="P45" s="588"/>
      <c r="Q45" s="588"/>
      <c r="R45" s="588"/>
      <c r="S45" s="588"/>
      <c r="T45" s="588"/>
      <c r="U45" s="589"/>
      <c r="V45" s="96" t="s">
        <v>338</v>
      </c>
      <c r="W45" s="182" t="str">
        <f>IF(Spielbericht!BT11="","",Spielbericht!BT11)</f>
        <v/>
      </c>
      <c r="X45" s="182"/>
      <c r="Y45" s="109" t="s">
        <v>301</v>
      </c>
      <c r="Z45" s="182" t="str">
        <f>IF(Spielbericht!BW11="","",Spielbericht!BW11)</f>
        <v/>
      </c>
      <c r="AA45" s="590"/>
      <c r="AB45" s="587" t="e">
        <f>Spielbericht!AN12</f>
        <v>#N/A</v>
      </c>
      <c r="AC45" s="588"/>
      <c r="AD45" s="588"/>
      <c r="AE45" s="588"/>
      <c r="AF45" s="588"/>
      <c r="AG45" s="588"/>
      <c r="AH45" s="588"/>
      <c r="AI45" s="588"/>
      <c r="AJ45" s="589"/>
    </row>
    <row r="46" spans="1:49" ht="15.75" thickBot="1" x14ac:dyDescent="0.3">
      <c r="B46" t="s">
        <v>33</v>
      </c>
      <c r="E46" s="582">
        <f ca="1">TODAY()</f>
        <v>42418</v>
      </c>
      <c r="F46" s="582"/>
      <c r="G46" s="582"/>
      <c r="H46" s="582"/>
      <c r="I46" s="582"/>
      <c r="J46" s="582"/>
      <c r="K46" s="582"/>
      <c r="M46" s="425">
        <f>M6</f>
        <v>0</v>
      </c>
      <c r="N46" s="426"/>
      <c r="O46" s="426"/>
      <c r="P46" s="426"/>
      <c r="Q46" s="426"/>
      <c r="R46" s="426"/>
      <c r="S46" s="426"/>
      <c r="T46" s="426"/>
      <c r="U46" s="427"/>
      <c r="V46" s="91" t="s">
        <v>339</v>
      </c>
      <c r="W46" s="573" t="str">
        <f>IF(Spielbericht!BZ11="","",Spielbericht!BZ11)</f>
        <v/>
      </c>
      <c r="X46" s="573"/>
      <c r="Y46" s="110" t="s">
        <v>301</v>
      </c>
      <c r="Z46" s="573" t="str">
        <f>IF(Spielbericht!CC11="","",Spielbericht!CC11)</f>
        <v/>
      </c>
      <c r="AA46" s="574"/>
      <c r="AB46" s="425">
        <f>AB6</f>
        <v>0</v>
      </c>
      <c r="AC46" s="426"/>
      <c r="AD46" s="426"/>
      <c r="AE46" s="426"/>
      <c r="AF46" s="426"/>
      <c r="AG46" s="426"/>
      <c r="AH46" s="426"/>
      <c r="AI46" s="426"/>
      <c r="AJ46" s="427"/>
      <c r="AK46" s="5"/>
      <c r="AL46" s="5"/>
      <c r="AM46" s="58" t="s">
        <v>332</v>
      </c>
      <c r="AN46" s="5"/>
      <c r="AO46" s="4"/>
      <c r="AP46" s="4"/>
      <c r="AQ46" s="4"/>
      <c r="AR46" s="4"/>
      <c r="AS46" s="58" t="s">
        <v>333</v>
      </c>
      <c r="AU46" s="4"/>
      <c r="AV46" s="4"/>
      <c r="AW46" s="4"/>
    </row>
    <row r="47" spans="1:49" ht="15" customHeight="1" thickBot="1" x14ac:dyDescent="0.3">
      <c r="A47" s="208"/>
      <c r="B47" s="208"/>
      <c r="C47" s="208"/>
      <c r="D47" s="208"/>
      <c r="E47" s="208"/>
      <c r="F47" s="208"/>
      <c r="G47" s="208"/>
      <c r="H47" s="208"/>
      <c r="I47" s="208"/>
      <c r="J47" s="208"/>
      <c r="K47" s="208"/>
      <c r="L47" s="208"/>
      <c r="M47" s="208"/>
      <c r="N47" s="208"/>
      <c r="O47" s="208"/>
      <c r="P47" s="208"/>
      <c r="Q47" s="208"/>
      <c r="R47" s="208"/>
      <c r="S47" s="208"/>
      <c r="T47" s="208"/>
      <c r="U47" s="208"/>
      <c r="V47" s="208"/>
      <c r="W47" s="208"/>
      <c r="X47" s="208"/>
      <c r="Z47" s="208"/>
      <c r="AA47" s="208"/>
      <c r="AB47" s="208"/>
      <c r="AC47" s="208"/>
      <c r="AD47" s="208"/>
      <c r="AE47" s="208"/>
      <c r="AF47" s="208"/>
      <c r="AG47" s="208"/>
      <c r="AH47" s="208"/>
      <c r="AI47" s="208"/>
      <c r="AJ47" s="208"/>
      <c r="AK47" s="208"/>
      <c r="AL47" s="208"/>
      <c r="AM47" s="208"/>
      <c r="AN47" s="208"/>
      <c r="AO47" s="208"/>
      <c r="AP47" s="208"/>
      <c r="AQ47" s="208"/>
      <c r="AR47" s="208"/>
      <c r="AS47" s="208"/>
      <c r="AT47" s="208"/>
      <c r="AU47" s="208"/>
      <c r="AV47" s="208"/>
      <c r="AW47" s="208"/>
    </row>
    <row r="48" spans="1:49" ht="15.75" customHeight="1" x14ac:dyDescent="0.25">
      <c r="A48" s="575" t="e">
        <f>M44</f>
        <v>#N/A</v>
      </c>
      <c r="B48" s="576"/>
      <c r="C48" s="576"/>
      <c r="D48" s="576"/>
      <c r="E48" s="576"/>
      <c r="F48" s="576"/>
      <c r="G48" s="576"/>
      <c r="H48" s="576"/>
      <c r="I48" s="576"/>
      <c r="J48" s="101"/>
      <c r="K48" s="89"/>
      <c r="L48" s="97"/>
      <c r="M48" s="97"/>
      <c r="N48" s="97"/>
      <c r="O48" s="97"/>
      <c r="P48" s="97"/>
      <c r="Q48" s="97"/>
      <c r="R48" s="97"/>
      <c r="S48" s="97"/>
      <c r="T48" s="97"/>
      <c r="U48" s="97"/>
      <c r="V48" s="97"/>
      <c r="W48" s="97"/>
      <c r="X48" s="97"/>
      <c r="Y48" s="97"/>
      <c r="Z48" s="97"/>
      <c r="AA48" s="97"/>
      <c r="AB48" s="97"/>
      <c r="AC48" s="97"/>
      <c r="AD48" s="97"/>
      <c r="AE48" s="97"/>
      <c r="AF48" s="97"/>
      <c r="AG48" s="97"/>
      <c r="AH48" s="97"/>
      <c r="AI48" s="97"/>
      <c r="AJ48" s="97"/>
      <c r="AK48" s="97"/>
      <c r="AL48" s="97"/>
      <c r="AM48" s="97"/>
      <c r="AN48" s="97"/>
      <c r="AO48" s="97"/>
      <c r="AP48" s="97"/>
      <c r="AQ48" s="97"/>
      <c r="AR48" s="97"/>
      <c r="AS48" s="97"/>
      <c r="AT48" s="98"/>
      <c r="AU48" s="579"/>
      <c r="AV48" s="580"/>
      <c r="AW48" s="581"/>
    </row>
    <row r="49" spans="1:49" ht="15.75" customHeight="1" thickBot="1" x14ac:dyDescent="0.3">
      <c r="A49" s="570" t="e">
        <f>M45</f>
        <v>#N/A</v>
      </c>
      <c r="B49" s="571"/>
      <c r="C49" s="571"/>
      <c r="D49" s="571"/>
      <c r="E49" s="571"/>
      <c r="F49" s="571"/>
      <c r="G49" s="571"/>
      <c r="H49" s="571"/>
      <c r="I49" s="571"/>
      <c r="J49" s="102"/>
      <c r="K49" s="91"/>
      <c r="L49" s="99"/>
      <c r="M49" s="99"/>
      <c r="N49" s="99"/>
      <c r="O49" s="99"/>
      <c r="P49" s="99"/>
      <c r="Q49" s="99"/>
      <c r="R49" s="99"/>
      <c r="S49" s="99"/>
      <c r="T49" s="99"/>
      <c r="U49" s="99"/>
      <c r="V49" s="99"/>
      <c r="W49" s="99"/>
      <c r="X49" s="99"/>
      <c r="Y49" s="99"/>
      <c r="Z49" s="99"/>
      <c r="AA49" s="99"/>
      <c r="AB49" s="99"/>
      <c r="AC49" s="99"/>
      <c r="AD49" s="99"/>
      <c r="AE49" s="99"/>
      <c r="AF49" s="99"/>
      <c r="AG49" s="99"/>
      <c r="AH49" s="99"/>
      <c r="AI49" s="99"/>
      <c r="AJ49" s="99"/>
      <c r="AK49" s="99"/>
      <c r="AL49" s="99"/>
      <c r="AM49" s="99"/>
      <c r="AN49" s="99"/>
      <c r="AO49" s="99"/>
      <c r="AP49" s="99"/>
      <c r="AQ49" s="99"/>
      <c r="AR49" s="99"/>
      <c r="AS49" s="99"/>
      <c r="AT49" s="100"/>
      <c r="AU49" s="572"/>
      <c r="AV49" s="573"/>
      <c r="AW49" s="574"/>
    </row>
    <row r="50" spans="1:49" ht="15.75" customHeight="1" x14ac:dyDescent="0.25">
      <c r="A50" s="575" t="e">
        <f>AB44</f>
        <v>#N/A</v>
      </c>
      <c r="B50" s="576"/>
      <c r="C50" s="576"/>
      <c r="D50" s="576"/>
      <c r="E50" s="576"/>
      <c r="F50" s="576"/>
      <c r="G50" s="576"/>
      <c r="H50" s="576"/>
      <c r="I50" s="576"/>
      <c r="J50" s="101"/>
      <c r="K50" s="89"/>
      <c r="L50" s="97"/>
      <c r="M50" s="97"/>
      <c r="N50" s="97"/>
      <c r="O50" s="97"/>
      <c r="P50" s="97"/>
      <c r="Q50" s="97"/>
      <c r="R50" s="97"/>
      <c r="S50" s="97"/>
      <c r="T50" s="97"/>
      <c r="U50" s="97"/>
      <c r="V50" s="97"/>
      <c r="W50" s="97"/>
      <c r="X50" s="97"/>
      <c r="Y50" s="97"/>
      <c r="Z50" s="97"/>
      <c r="AA50" s="97"/>
      <c r="AB50" s="97"/>
      <c r="AC50" s="97"/>
      <c r="AD50" s="97"/>
      <c r="AE50" s="97"/>
      <c r="AF50" s="97"/>
      <c r="AG50" s="97"/>
      <c r="AH50" s="97"/>
      <c r="AI50" s="97"/>
      <c r="AJ50" s="97"/>
      <c r="AK50" s="97"/>
      <c r="AL50" s="97"/>
      <c r="AM50" s="97"/>
      <c r="AN50" s="97"/>
      <c r="AO50" s="97"/>
      <c r="AP50" s="97"/>
      <c r="AQ50" s="97"/>
      <c r="AR50" s="97"/>
      <c r="AS50" s="97"/>
      <c r="AT50" s="98"/>
      <c r="AU50" s="386"/>
      <c r="AV50" s="577"/>
      <c r="AW50" s="578"/>
    </row>
    <row r="51" spans="1:49" ht="15.75" customHeight="1" thickBot="1" x14ac:dyDescent="0.3">
      <c r="A51" s="570" t="e">
        <f>AB45</f>
        <v>#N/A</v>
      </c>
      <c r="B51" s="571"/>
      <c r="C51" s="571"/>
      <c r="D51" s="571"/>
      <c r="E51" s="571"/>
      <c r="F51" s="571"/>
      <c r="G51" s="571"/>
      <c r="H51" s="571"/>
      <c r="I51" s="571"/>
      <c r="J51" s="102"/>
      <c r="K51" s="91"/>
      <c r="L51" s="99"/>
      <c r="M51" s="99"/>
      <c r="N51" s="99"/>
      <c r="O51" s="99"/>
      <c r="P51" s="99"/>
      <c r="Q51" s="99"/>
      <c r="R51" s="99"/>
      <c r="S51" s="99"/>
      <c r="T51" s="99"/>
      <c r="U51" s="99"/>
      <c r="V51" s="99"/>
      <c r="W51" s="99"/>
      <c r="X51" s="99"/>
      <c r="Y51" s="99"/>
      <c r="Z51" s="99"/>
      <c r="AA51" s="99"/>
      <c r="AB51" s="99"/>
      <c r="AC51" s="99"/>
      <c r="AD51" s="99"/>
      <c r="AE51" s="99"/>
      <c r="AF51" s="99"/>
      <c r="AG51" s="99"/>
      <c r="AH51" s="99"/>
      <c r="AI51" s="99"/>
      <c r="AJ51" s="99"/>
      <c r="AK51" s="99"/>
      <c r="AL51" s="99"/>
      <c r="AM51" s="99"/>
      <c r="AN51" s="99"/>
      <c r="AO51" s="99"/>
      <c r="AP51" s="99"/>
      <c r="AQ51" s="99"/>
      <c r="AR51" s="99"/>
      <c r="AS51" s="99"/>
      <c r="AT51" s="100"/>
      <c r="AU51" s="572"/>
      <c r="AV51" s="573"/>
      <c r="AW51" s="574"/>
    </row>
    <row r="52" spans="1:49" ht="4.5" customHeight="1" thickBot="1" x14ac:dyDescent="0.3">
      <c r="A52" s="12"/>
      <c r="B52" s="12"/>
      <c r="C52" s="12"/>
      <c r="D52" s="12"/>
      <c r="E52" s="12"/>
      <c r="F52" s="12"/>
      <c r="G52" s="12"/>
      <c r="H52" s="12"/>
      <c r="I52" s="12"/>
      <c r="K52" s="5"/>
      <c r="L52" s="5"/>
    </row>
    <row r="53" spans="1:49" ht="15.75" customHeight="1" x14ac:dyDescent="0.25">
      <c r="A53" s="575" t="e">
        <f>A48</f>
        <v>#N/A</v>
      </c>
      <c r="B53" s="576"/>
      <c r="C53" s="576"/>
      <c r="D53" s="576"/>
      <c r="E53" s="576"/>
      <c r="F53" s="576"/>
      <c r="G53" s="576"/>
      <c r="H53" s="576"/>
      <c r="I53" s="576"/>
      <c r="J53" s="101"/>
      <c r="K53" s="89"/>
      <c r="L53" s="97"/>
      <c r="M53" s="97"/>
      <c r="N53" s="97"/>
      <c r="O53" s="97"/>
      <c r="P53" s="97"/>
      <c r="Q53" s="97"/>
      <c r="R53" s="97"/>
      <c r="S53" s="97"/>
      <c r="T53" s="97"/>
      <c r="U53" s="97"/>
      <c r="V53" s="97"/>
      <c r="W53" s="97"/>
      <c r="X53" s="97"/>
      <c r="Y53" s="97"/>
      <c r="Z53" s="97"/>
      <c r="AA53" s="97"/>
      <c r="AB53" s="97"/>
      <c r="AC53" s="97"/>
      <c r="AD53" s="97"/>
      <c r="AE53" s="97"/>
      <c r="AF53" s="97"/>
      <c r="AG53" s="97"/>
      <c r="AH53" s="97"/>
      <c r="AI53" s="97"/>
      <c r="AJ53" s="97"/>
      <c r="AK53" s="97"/>
      <c r="AL53" s="97"/>
      <c r="AM53" s="97"/>
      <c r="AN53" s="97"/>
      <c r="AO53" s="97"/>
      <c r="AP53" s="97"/>
      <c r="AQ53" s="97"/>
      <c r="AR53" s="97"/>
      <c r="AS53" s="97"/>
      <c r="AT53" s="98"/>
      <c r="AU53" s="579"/>
      <c r="AV53" s="580"/>
      <c r="AW53" s="581"/>
    </row>
    <row r="54" spans="1:49" ht="15.75" customHeight="1" thickBot="1" x14ac:dyDescent="0.3">
      <c r="A54" s="570" t="e">
        <f>A49</f>
        <v>#N/A</v>
      </c>
      <c r="B54" s="571"/>
      <c r="C54" s="571"/>
      <c r="D54" s="571"/>
      <c r="E54" s="571"/>
      <c r="F54" s="571"/>
      <c r="G54" s="571"/>
      <c r="H54" s="571"/>
      <c r="I54" s="571"/>
      <c r="J54" s="102"/>
      <c r="K54" s="91"/>
      <c r="L54" s="99"/>
      <c r="M54" s="99"/>
      <c r="N54" s="99"/>
      <c r="O54" s="99"/>
      <c r="P54" s="99"/>
      <c r="Q54" s="99"/>
      <c r="R54" s="99"/>
      <c r="S54" s="99"/>
      <c r="T54" s="99"/>
      <c r="U54" s="99"/>
      <c r="V54" s="99"/>
      <c r="W54" s="99"/>
      <c r="X54" s="99"/>
      <c r="Y54" s="99"/>
      <c r="Z54" s="99"/>
      <c r="AA54" s="99"/>
      <c r="AB54" s="99"/>
      <c r="AC54" s="99"/>
      <c r="AD54" s="99"/>
      <c r="AE54" s="99"/>
      <c r="AF54" s="99"/>
      <c r="AG54" s="99"/>
      <c r="AH54" s="99"/>
      <c r="AI54" s="99"/>
      <c r="AJ54" s="99"/>
      <c r="AK54" s="99"/>
      <c r="AL54" s="99"/>
      <c r="AM54" s="99"/>
      <c r="AN54" s="99"/>
      <c r="AO54" s="99"/>
      <c r="AP54" s="99"/>
      <c r="AQ54" s="99"/>
      <c r="AR54" s="99"/>
      <c r="AS54" s="99"/>
      <c r="AT54" s="100"/>
      <c r="AU54" s="572"/>
      <c r="AV54" s="573"/>
      <c r="AW54" s="574"/>
    </row>
    <row r="55" spans="1:49" ht="15.75" customHeight="1" x14ac:dyDescent="0.25">
      <c r="A55" s="575" t="e">
        <f>A50</f>
        <v>#N/A</v>
      </c>
      <c r="B55" s="576"/>
      <c r="C55" s="576"/>
      <c r="D55" s="576"/>
      <c r="E55" s="576"/>
      <c r="F55" s="576"/>
      <c r="G55" s="576"/>
      <c r="H55" s="576"/>
      <c r="I55" s="576"/>
      <c r="J55" s="101"/>
      <c r="K55" s="89"/>
      <c r="L55" s="97"/>
      <c r="M55" s="97"/>
      <c r="N55" s="97"/>
      <c r="O55" s="97"/>
      <c r="P55" s="97"/>
      <c r="Q55" s="97"/>
      <c r="R55" s="97"/>
      <c r="S55" s="97"/>
      <c r="T55" s="97"/>
      <c r="U55" s="97"/>
      <c r="V55" s="97"/>
      <c r="W55" s="97"/>
      <c r="X55" s="97"/>
      <c r="Y55" s="97"/>
      <c r="Z55" s="97"/>
      <c r="AA55" s="97"/>
      <c r="AB55" s="97"/>
      <c r="AC55" s="97"/>
      <c r="AD55" s="97"/>
      <c r="AE55" s="97"/>
      <c r="AF55" s="97"/>
      <c r="AG55" s="97"/>
      <c r="AH55" s="97"/>
      <c r="AI55" s="97"/>
      <c r="AJ55" s="97"/>
      <c r="AK55" s="97"/>
      <c r="AL55" s="97"/>
      <c r="AM55" s="97"/>
      <c r="AN55" s="97"/>
      <c r="AO55" s="97"/>
      <c r="AP55" s="97"/>
      <c r="AQ55" s="97"/>
      <c r="AR55" s="97"/>
      <c r="AS55" s="97"/>
      <c r="AT55" s="98"/>
      <c r="AU55" s="386"/>
      <c r="AV55" s="577"/>
      <c r="AW55" s="578"/>
    </row>
    <row r="56" spans="1:49" ht="15.75" customHeight="1" thickBot="1" x14ac:dyDescent="0.3">
      <c r="A56" s="570" t="e">
        <f>A51</f>
        <v>#N/A</v>
      </c>
      <c r="B56" s="571"/>
      <c r="C56" s="571"/>
      <c r="D56" s="571"/>
      <c r="E56" s="571"/>
      <c r="F56" s="571"/>
      <c r="G56" s="571"/>
      <c r="H56" s="571"/>
      <c r="I56" s="571"/>
      <c r="J56" s="102"/>
      <c r="K56" s="91"/>
      <c r="L56" s="99"/>
      <c r="M56" s="99"/>
      <c r="N56" s="99"/>
      <c r="O56" s="99"/>
      <c r="P56" s="99"/>
      <c r="Q56" s="99"/>
      <c r="R56" s="99"/>
      <c r="S56" s="99"/>
      <c r="T56" s="99"/>
      <c r="U56" s="99"/>
      <c r="V56" s="99"/>
      <c r="W56" s="99"/>
      <c r="X56" s="99"/>
      <c r="Y56" s="99"/>
      <c r="Z56" s="99"/>
      <c r="AA56" s="99"/>
      <c r="AB56" s="99"/>
      <c r="AC56" s="99"/>
      <c r="AD56" s="99"/>
      <c r="AE56" s="99"/>
      <c r="AF56" s="99"/>
      <c r="AG56" s="99"/>
      <c r="AH56" s="99"/>
      <c r="AI56" s="99"/>
      <c r="AJ56" s="99"/>
      <c r="AK56" s="99"/>
      <c r="AL56" s="99"/>
      <c r="AM56" s="99"/>
      <c r="AN56" s="99"/>
      <c r="AO56" s="99"/>
      <c r="AP56" s="99"/>
      <c r="AQ56" s="99"/>
      <c r="AR56" s="99"/>
      <c r="AS56" s="99"/>
      <c r="AT56" s="100"/>
      <c r="AU56" s="572"/>
      <c r="AV56" s="573"/>
      <c r="AW56" s="574"/>
    </row>
    <row r="57" spans="1:49" ht="4.5" customHeight="1" thickBot="1" x14ac:dyDescent="0.3">
      <c r="A57" s="12"/>
      <c r="B57" s="12"/>
      <c r="C57" s="12"/>
      <c r="D57" s="12"/>
      <c r="E57" s="12"/>
      <c r="F57" s="12"/>
      <c r="G57" s="12"/>
      <c r="H57" s="12"/>
      <c r="I57" s="12"/>
    </row>
    <row r="58" spans="1:49" ht="15.75" customHeight="1" x14ac:dyDescent="0.25">
      <c r="A58" s="575" t="e">
        <f>A53</f>
        <v>#N/A</v>
      </c>
      <c r="B58" s="576"/>
      <c r="C58" s="576"/>
      <c r="D58" s="576"/>
      <c r="E58" s="576"/>
      <c r="F58" s="576"/>
      <c r="G58" s="576"/>
      <c r="H58" s="576"/>
      <c r="I58" s="576"/>
      <c r="J58" s="101"/>
      <c r="K58" s="89"/>
      <c r="L58" s="97"/>
      <c r="M58" s="97"/>
      <c r="N58" s="97"/>
      <c r="O58" s="97"/>
      <c r="P58" s="97"/>
      <c r="Q58" s="97"/>
      <c r="R58" s="97"/>
      <c r="S58" s="97"/>
      <c r="T58" s="97"/>
      <c r="U58" s="97"/>
      <c r="V58" s="97"/>
      <c r="W58" s="97"/>
      <c r="X58" s="97"/>
      <c r="Y58" s="97"/>
      <c r="Z58" s="97"/>
      <c r="AA58" s="97"/>
      <c r="AB58" s="97"/>
      <c r="AC58" s="97"/>
      <c r="AD58" s="97"/>
      <c r="AE58" s="97"/>
      <c r="AF58" s="97"/>
      <c r="AG58" s="97"/>
      <c r="AH58" s="97"/>
      <c r="AI58" s="97"/>
      <c r="AJ58" s="97"/>
      <c r="AK58" s="97"/>
      <c r="AL58" s="97"/>
      <c r="AM58" s="97"/>
      <c r="AN58" s="97"/>
      <c r="AO58" s="97"/>
      <c r="AP58" s="97"/>
      <c r="AQ58" s="97"/>
      <c r="AR58" s="97"/>
      <c r="AS58" s="97"/>
      <c r="AT58" s="98"/>
      <c r="AU58" s="579"/>
      <c r="AV58" s="580"/>
      <c r="AW58" s="581"/>
    </row>
    <row r="59" spans="1:49" ht="15.75" customHeight="1" thickBot="1" x14ac:dyDescent="0.3">
      <c r="A59" s="570" t="e">
        <f>A54</f>
        <v>#N/A</v>
      </c>
      <c r="B59" s="571"/>
      <c r="C59" s="571"/>
      <c r="D59" s="571"/>
      <c r="E59" s="571"/>
      <c r="F59" s="571"/>
      <c r="G59" s="571"/>
      <c r="H59" s="571"/>
      <c r="I59" s="571"/>
      <c r="J59" s="102"/>
      <c r="K59" s="91"/>
      <c r="L59" s="99"/>
      <c r="M59" s="99"/>
      <c r="N59" s="99"/>
      <c r="O59" s="99"/>
      <c r="P59" s="99"/>
      <c r="Q59" s="99"/>
      <c r="R59" s="99"/>
      <c r="S59" s="99"/>
      <c r="T59" s="99"/>
      <c r="U59" s="99"/>
      <c r="V59" s="99"/>
      <c r="W59" s="99"/>
      <c r="X59" s="99"/>
      <c r="Y59" s="99"/>
      <c r="Z59" s="99"/>
      <c r="AA59" s="99"/>
      <c r="AB59" s="99"/>
      <c r="AC59" s="99"/>
      <c r="AD59" s="99"/>
      <c r="AE59" s="99"/>
      <c r="AF59" s="99"/>
      <c r="AG59" s="99"/>
      <c r="AH59" s="99"/>
      <c r="AI59" s="99"/>
      <c r="AJ59" s="99"/>
      <c r="AK59" s="99"/>
      <c r="AL59" s="99"/>
      <c r="AM59" s="99"/>
      <c r="AN59" s="99"/>
      <c r="AO59" s="99"/>
      <c r="AP59" s="99"/>
      <c r="AQ59" s="99"/>
      <c r="AR59" s="99"/>
      <c r="AS59" s="99"/>
      <c r="AT59" s="100"/>
      <c r="AU59" s="572"/>
      <c r="AV59" s="573"/>
      <c r="AW59" s="574"/>
    </row>
    <row r="60" spans="1:49" ht="15.75" customHeight="1" x14ac:dyDescent="0.25">
      <c r="A60" s="575" t="e">
        <f>A55</f>
        <v>#N/A</v>
      </c>
      <c r="B60" s="576"/>
      <c r="C60" s="576"/>
      <c r="D60" s="576"/>
      <c r="E60" s="576"/>
      <c r="F60" s="576"/>
      <c r="G60" s="576"/>
      <c r="H60" s="576"/>
      <c r="I60" s="576"/>
      <c r="J60" s="101"/>
      <c r="K60" s="89"/>
      <c r="L60" s="97"/>
      <c r="M60" s="97"/>
      <c r="N60" s="97"/>
      <c r="O60" s="97"/>
      <c r="P60" s="97"/>
      <c r="Q60" s="97"/>
      <c r="R60" s="97"/>
      <c r="S60" s="97"/>
      <c r="T60" s="97"/>
      <c r="U60" s="97"/>
      <c r="V60" s="97"/>
      <c r="W60" s="97"/>
      <c r="X60" s="97"/>
      <c r="Y60" s="97"/>
      <c r="Z60" s="97"/>
      <c r="AA60" s="97"/>
      <c r="AB60" s="97"/>
      <c r="AC60" s="97"/>
      <c r="AD60" s="97"/>
      <c r="AE60" s="97"/>
      <c r="AF60" s="97"/>
      <c r="AG60" s="97"/>
      <c r="AH60" s="97"/>
      <c r="AI60" s="97"/>
      <c r="AJ60" s="97"/>
      <c r="AK60" s="97"/>
      <c r="AL60" s="97"/>
      <c r="AM60" s="97"/>
      <c r="AN60" s="97"/>
      <c r="AO60" s="97"/>
      <c r="AP60" s="97"/>
      <c r="AQ60" s="97"/>
      <c r="AR60" s="97"/>
      <c r="AS60" s="97"/>
      <c r="AT60" s="98"/>
      <c r="AU60" s="386"/>
      <c r="AV60" s="577"/>
      <c r="AW60" s="578"/>
    </row>
    <row r="61" spans="1:49" ht="15.75" customHeight="1" thickBot="1" x14ac:dyDescent="0.3">
      <c r="A61" s="570" t="e">
        <f>A56</f>
        <v>#N/A</v>
      </c>
      <c r="B61" s="571"/>
      <c r="C61" s="571"/>
      <c r="D61" s="571"/>
      <c r="E61" s="571"/>
      <c r="F61" s="571"/>
      <c r="G61" s="571"/>
      <c r="H61" s="571"/>
      <c r="I61" s="571"/>
      <c r="J61" s="102"/>
      <c r="K61" s="91"/>
      <c r="L61" s="99"/>
      <c r="M61" s="99"/>
      <c r="N61" s="99"/>
      <c r="O61" s="99"/>
      <c r="P61" s="99"/>
      <c r="Q61" s="99"/>
      <c r="R61" s="99"/>
      <c r="S61" s="99"/>
      <c r="T61" s="99"/>
      <c r="U61" s="99"/>
      <c r="V61" s="99"/>
      <c r="W61" s="99"/>
      <c r="X61" s="99"/>
      <c r="Y61" s="99"/>
      <c r="Z61" s="99"/>
      <c r="AA61" s="99"/>
      <c r="AB61" s="99"/>
      <c r="AC61" s="99"/>
      <c r="AD61" s="99"/>
      <c r="AE61" s="99"/>
      <c r="AF61" s="99"/>
      <c r="AG61" s="99"/>
      <c r="AH61" s="99"/>
      <c r="AI61" s="99"/>
      <c r="AJ61" s="99"/>
      <c r="AK61" s="99"/>
      <c r="AL61" s="99"/>
      <c r="AM61" s="99"/>
      <c r="AN61" s="99"/>
      <c r="AO61" s="99"/>
      <c r="AP61" s="99"/>
      <c r="AQ61" s="99"/>
      <c r="AR61" s="99"/>
      <c r="AS61" s="99"/>
      <c r="AT61" s="100"/>
      <c r="AU61" s="572"/>
      <c r="AV61" s="573"/>
      <c r="AW61" s="574"/>
    </row>
    <row r="62" spans="1:49" ht="4.5" customHeight="1" thickBot="1" x14ac:dyDescent="0.3">
      <c r="A62" s="12"/>
      <c r="B62" s="12"/>
      <c r="C62" s="12"/>
      <c r="D62" s="12"/>
      <c r="E62" s="12"/>
      <c r="F62" s="12"/>
      <c r="G62" s="12"/>
      <c r="H62" s="12"/>
      <c r="I62" s="12"/>
    </row>
    <row r="63" spans="1:49" ht="15.75" customHeight="1" x14ac:dyDescent="0.25">
      <c r="A63" s="575" t="e">
        <f>A58</f>
        <v>#N/A</v>
      </c>
      <c r="B63" s="576"/>
      <c r="C63" s="576"/>
      <c r="D63" s="576"/>
      <c r="E63" s="576"/>
      <c r="F63" s="576"/>
      <c r="G63" s="576"/>
      <c r="H63" s="576"/>
      <c r="I63" s="576"/>
      <c r="J63" s="101"/>
      <c r="K63" s="89"/>
      <c r="L63" s="97"/>
      <c r="M63" s="97"/>
      <c r="N63" s="97"/>
      <c r="O63" s="97"/>
      <c r="P63" s="97"/>
      <c r="Q63" s="97"/>
      <c r="R63" s="97"/>
      <c r="S63" s="97"/>
      <c r="T63" s="97"/>
      <c r="U63" s="97"/>
      <c r="V63" s="97"/>
      <c r="W63" s="97"/>
      <c r="X63" s="97"/>
      <c r="Y63" s="97"/>
      <c r="Z63" s="97"/>
      <c r="AA63" s="97"/>
      <c r="AB63" s="97"/>
      <c r="AC63" s="97"/>
      <c r="AD63" s="97"/>
      <c r="AE63" s="97"/>
      <c r="AF63" s="97"/>
      <c r="AG63" s="97"/>
      <c r="AH63" s="97"/>
      <c r="AI63" s="97"/>
      <c r="AJ63" s="97"/>
      <c r="AK63" s="97"/>
      <c r="AL63" s="97"/>
      <c r="AM63" s="97"/>
      <c r="AN63" s="97"/>
      <c r="AO63" s="97"/>
      <c r="AP63" s="97"/>
      <c r="AQ63" s="97"/>
      <c r="AR63" s="97"/>
      <c r="AS63" s="97"/>
      <c r="AT63" s="98"/>
      <c r="AU63" s="579"/>
      <c r="AV63" s="580"/>
      <c r="AW63" s="581"/>
    </row>
    <row r="64" spans="1:49" ht="15.75" customHeight="1" thickBot="1" x14ac:dyDescent="0.3">
      <c r="A64" s="570" t="e">
        <f>A59</f>
        <v>#N/A</v>
      </c>
      <c r="B64" s="571"/>
      <c r="C64" s="571"/>
      <c r="D64" s="571"/>
      <c r="E64" s="571"/>
      <c r="F64" s="571"/>
      <c r="G64" s="571"/>
      <c r="H64" s="571"/>
      <c r="I64" s="571"/>
      <c r="J64" s="102"/>
      <c r="K64" s="91"/>
      <c r="L64" s="99"/>
      <c r="M64" s="99"/>
      <c r="N64" s="99"/>
      <c r="O64" s="99"/>
      <c r="P64" s="99"/>
      <c r="Q64" s="99"/>
      <c r="R64" s="99"/>
      <c r="S64" s="99"/>
      <c r="T64" s="99"/>
      <c r="U64" s="99"/>
      <c r="V64" s="99"/>
      <c r="W64" s="99"/>
      <c r="X64" s="99"/>
      <c r="Y64" s="99"/>
      <c r="Z64" s="99"/>
      <c r="AA64" s="99"/>
      <c r="AB64" s="99"/>
      <c r="AC64" s="99"/>
      <c r="AD64" s="99"/>
      <c r="AE64" s="99"/>
      <c r="AF64" s="99"/>
      <c r="AG64" s="99"/>
      <c r="AH64" s="99"/>
      <c r="AI64" s="99"/>
      <c r="AJ64" s="99"/>
      <c r="AK64" s="99"/>
      <c r="AL64" s="99"/>
      <c r="AM64" s="99"/>
      <c r="AN64" s="99"/>
      <c r="AO64" s="99"/>
      <c r="AP64" s="99"/>
      <c r="AQ64" s="99"/>
      <c r="AR64" s="99"/>
      <c r="AS64" s="99"/>
      <c r="AT64" s="100"/>
      <c r="AU64" s="572"/>
      <c r="AV64" s="573"/>
      <c r="AW64" s="574"/>
    </row>
    <row r="65" spans="1:49" ht="15.75" customHeight="1" x14ac:dyDescent="0.25">
      <c r="A65" s="575" t="e">
        <f>A60</f>
        <v>#N/A</v>
      </c>
      <c r="B65" s="576"/>
      <c r="C65" s="576"/>
      <c r="D65" s="576"/>
      <c r="E65" s="576"/>
      <c r="F65" s="576"/>
      <c r="G65" s="576"/>
      <c r="H65" s="576"/>
      <c r="I65" s="576"/>
      <c r="J65" s="101"/>
      <c r="K65" s="89"/>
      <c r="L65" s="97"/>
      <c r="M65" s="97"/>
      <c r="N65" s="97"/>
      <c r="O65" s="97"/>
      <c r="P65" s="97"/>
      <c r="Q65" s="97"/>
      <c r="R65" s="97"/>
      <c r="S65" s="97"/>
      <c r="T65" s="97"/>
      <c r="U65" s="97"/>
      <c r="V65" s="97"/>
      <c r="W65" s="97"/>
      <c r="X65" s="97"/>
      <c r="Y65" s="97"/>
      <c r="Z65" s="97"/>
      <c r="AA65" s="97"/>
      <c r="AB65" s="97"/>
      <c r="AC65" s="97"/>
      <c r="AD65" s="97"/>
      <c r="AE65" s="97"/>
      <c r="AF65" s="97"/>
      <c r="AG65" s="97"/>
      <c r="AH65" s="97"/>
      <c r="AI65" s="97"/>
      <c r="AJ65" s="97"/>
      <c r="AK65" s="97"/>
      <c r="AL65" s="97"/>
      <c r="AM65" s="97"/>
      <c r="AN65" s="97"/>
      <c r="AO65" s="97"/>
      <c r="AP65" s="97"/>
      <c r="AQ65" s="97"/>
      <c r="AR65" s="97"/>
      <c r="AS65" s="97"/>
      <c r="AT65" s="98"/>
      <c r="AU65" s="386"/>
      <c r="AV65" s="577"/>
      <c r="AW65" s="578"/>
    </row>
    <row r="66" spans="1:49" ht="15.75" customHeight="1" thickBot="1" x14ac:dyDescent="0.3">
      <c r="A66" s="570" t="e">
        <f>A61</f>
        <v>#N/A</v>
      </c>
      <c r="B66" s="571"/>
      <c r="C66" s="571"/>
      <c r="D66" s="571"/>
      <c r="E66" s="571"/>
      <c r="F66" s="571"/>
      <c r="G66" s="571"/>
      <c r="H66" s="571"/>
      <c r="I66" s="571"/>
      <c r="J66" s="102"/>
      <c r="K66" s="91"/>
      <c r="L66" s="99"/>
      <c r="M66" s="99"/>
      <c r="N66" s="99"/>
      <c r="O66" s="99"/>
      <c r="P66" s="99"/>
      <c r="Q66" s="99"/>
      <c r="R66" s="99"/>
      <c r="S66" s="99"/>
      <c r="T66" s="99"/>
      <c r="U66" s="99"/>
      <c r="V66" s="99"/>
      <c r="W66" s="99"/>
      <c r="X66" s="99"/>
      <c r="Y66" s="99"/>
      <c r="Z66" s="99"/>
      <c r="AA66" s="99"/>
      <c r="AB66" s="99"/>
      <c r="AC66" s="99"/>
      <c r="AD66" s="99"/>
      <c r="AE66" s="99"/>
      <c r="AF66" s="99"/>
      <c r="AG66" s="99"/>
      <c r="AH66" s="99"/>
      <c r="AI66" s="99"/>
      <c r="AJ66" s="99"/>
      <c r="AK66" s="99"/>
      <c r="AL66" s="99"/>
      <c r="AM66" s="99"/>
      <c r="AN66" s="99"/>
      <c r="AO66" s="99"/>
      <c r="AP66" s="99"/>
      <c r="AQ66" s="99"/>
      <c r="AR66" s="99"/>
      <c r="AS66" s="99"/>
      <c r="AT66" s="100"/>
      <c r="AU66" s="572"/>
      <c r="AV66" s="573"/>
      <c r="AW66" s="574"/>
    </row>
    <row r="67" spans="1:49" ht="4.5" customHeight="1" thickBot="1" x14ac:dyDescent="0.3">
      <c r="A67" s="12"/>
      <c r="B67" s="12"/>
      <c r="C67" s="12"/>
      <c r="D67" s="12"/>
      <c r="E67" s="12"/>
      <c r="F67" s="12"/>
      <c r="G67" s="12"/>
      <c r="H67" s="12"/>
      <c r="I67" s="12"/>
    </row>
    <row r="68" spans="1:49" ht="15.75" customHeight="1" x14ac:dyDescent="0.25">
      <c r="A68" s="575" t="e">
        <f>A63</f>
        <v>#N/A</v>
      </c>
      <c r="B68" s="576"/>
      <c r="C68" s="576"/>
      <c r="D68" s="576"/>
      <c r="E68" s="576"/>
      <c r="F68" s="576"/>
      <c r="G68" s="576"/>
      <c r="H68" s="576"/>
      <c r="I68" s="576"/>
      <c r="J68" s="101"/>
      <c r="K68" s="89"/>
      <c r="L68" s="97"/>
      <c r="M68" s="97"/>
      <c r="N68" s="97"/>
      <c r="O68" s="97"/>
      <c r="P68" s="97"/>
      <c r="Q68" s="97"/>
      <c r="R68" s="97"/>
      <c r="S68" s="97"/>
      <c r="T68" s="97"/>
      <c r="U68" s="97"/>
      <c r="V68" s="97"/>
      <c r="W68" s="97"/>
      <c r="X68" s="97"/>
      <c r="Y68" s="97"/>
      <c r="Z68" s="97"/>
      <c r="AA68" s="97"/>
      <c r="AB68" s="97"/>
      <c r="AC68" s="97"/>
      <c r="AD68" s="97"/>
      <c r="AE68" s="97"/>
      <c r="AF68" s="97"/>
      <c r="AG68" s="97"/>
      <c r="AH68" s="97"/>
      <c r="AI68" s="97"/>
      <c r="AJ68" s="97"/>
      <c r="AK68" s="97"/>
      <c r="AL68" s="97"/>
      <c r="AM68" s="97"/>
      <c r="AN68" s="97"/>
      <c r="AO68" s="97"/>
      <c r="AP68" s="97"/>
      <c r="AQ68" s="97"/>
      <c r="AR68" s="97"/>
      <c r="AS68" s="97"/>
      <c r="AT68" s="98"/>
      <c r="AU68" s="579"/>
      <c r="AV68" s="580"/>
      <c r="AW68" s="581"/>
    </row>
    <row r="69" spans="1:49" ht="15.75" customHeight="1" thickBot="1" x14ac:dyDescent="0.3">
      <c r="A69" s="570" t="e">
        <f>A64</f>
        <v>#N/A</v>
      </c>
      <c r="B69" s="571"/>
      <c r="C69" s="571"/>
      <c r="D69" s="571"/>
      <c r="E69" s="571"/>
      <c r="F69" s="571"/>
      <c r="G69" s="571"/>
      <c r="H69" s="571"/>
      <c r="I69" s="571"/>
      <c r="J69" s="102"/>
      <c r="K69" s="91"/>
      <c r="L69" s="99"/>
      <c r="M69" s="99"/>
      <c r="N69" s="99"/>
      <c r="O69" s="99"/>
      <c r="P69" s="99"/>
      <c r="Q69" s="99"/>
      <c r="R69" s="99"/>
      <c r="S69" s="99"/>
      <c r="T69" s="99"/>
      <c r="U69" s="99"/>
      <c r="V69" s="99"/>
      <c r="W69" s="99"/>
      <c r="X69" s="99"/>
      <c r="Y69" s="99"/>
      <c r="Z69" s="99"/>
      <c r="AA69" s="99"/>
      <c r="AB69" s="99"/>
      <c r="AC69" s="99"/>
      <c r="AD69" s="99"/>
      <c r="AE69" s="99"/>
      <c r="AF69" s="99"/>
      <c r="AG69" s="99"/>
      <c r="AH69" s="99"/>
      <c r="AI69" s="99"/>
      <c r="AJ69" s="99"/>
      <c r="AK69" s="99"/>
      <c r="AL69" s="99"/>
      <c r="AM69" s="99"/>
      <c r="AN69" s="99"/>
      <c r="AO69" s="99"/>
      <c r="AP69" s="99"/>
      <c r="AQ69" s="99"/>
      <c r="AR69" s="99"/>
      <c r="AS69" s="99"/>
      <c r="AT69" s="100"/>
      <c r="AU69" s="572"/>
      <c r="AV69" s="573"/>
      <c r="AW69" s="574"/>
    </row>
    <row r="70" spans="1:49" ht="15.75" customHeight="1" x14ac:dyDescent="0.25">
      <c r="A70" s="575" t="e">
        <f>A65</f>
        <v>#N/A</v>
      </c>
      <c r="B70" s="576"/>
      <c r="C70" s="576"/>
      <c r="D70" s="576"/>
      <c r="E70" s="576"/>
      <c r="F70" s="576"/>
      <c r="G70" s="576"/>
      <c r="H70" s="576"/>
      <c r="I70" s="576"/>
      <c r="J70" s="101"/>
      <c r="K70" s="89"/>
      <c r="L70" s="97"/>
      <c r="M70" s="97"/>
      <c r="N70" s="97"/>
      <c r="O70" s="97"/>
      <c r="P70" s="97"/>
      <c r="Q70" s="97"/>
      <c r="R70" s="97"/>
      <c r="S70" s="97"/>
      <c r="T70" s="97"/>
      <c r="U70" s="97"/>
      <c r="V70" s="97"/>
      <c r="W70" s="97"/>
      <c r="X70" s="97"/>
      <c r="Y70" s="97"/>
      <c r="Z70" s="97"/>
      <c r="AA70" s="97"/>
      <c r="AB70" s="97"/>
      <c r="AC70" s="97"/>
      <c r="AD70" s="97"/>
      <c r="AE70" s="97"/>
      <c r="AF70" s="97"/>
      <c r="AG70" s="97"/>
      <c r="AH70" s="97"/>
      <c r="AI70" s="97"/>
      <c r="AJ70" s="97"/>
      <c r="AK70" s="97"/>
      <c r="AL70" s="97"/>
      <c r="AM70" s="97"/>
      <c r="AN70" s="97"/>
      <c r="AO70" s="97"/>
      <c r="AP70" s="97"/>
      <c r="AQ70" s="97"/>
      <c r="AR70" s="97"/>
      <c r="AS70" s="97"/>
      <c r="AT70" s="98"/>
      <c r="AU70" s="386"/>
      <c r="AV70" s="577"/>
      <c r="AW70" s="578"/>
    </row>
    <row r="71" spans="1:49" ht="15.75" customHeight="1" thickBot="1" x14ac:dyDescent="0.3">
      <c r="A71" s="570" t="e">
        <f>A66</f>
        <v>#N/A</v>
      </c>
      <c r="B71" s="571"/>
      <c r="C71" s="571"/>
      <c r="D71" s="571"/>
      <c r="E71" s="571"/>
      <c r="F71" s="571"/>
      <c r="G71" s="571"/>
      <c r="H71" s="571"/>
      <c r="I71" s="571"/>
      <c r="J71" s="102"/>
      <c r="K71" s="91"/>
      <c r="L71" s="99"/>
      <c r="M71" s="99"/>
      <c r="N71" s="99"/>
      <c r="O71" s="99"/>
      <c r="P71" s="99"/>
      <c r="Q71" s="99"/>
      <c r="R71" s="99"/>
      <c r="S71" s="99"/>
      <c r="T71" s="99"/>
      <c r="U71" s="99"/>
      <c r="V71" s="99"/>
      <c r="W71" s="99"/>
      <c r="X71" s="99"/>
      <c r="Y71" s="99"/>
      <c r="Z71" s="99"/>
      <c r="AA71" s="99"/>
      <c r="AB71" s="99"/>
      <c r="AC71" s="99"/>
      <c r="AD71" s="99"/>
      <c r="AE71" s="99"/>
      <c r="AF71" s="99"/>
      <c r="AG71" s="99"/>
      <c r="AH71" s="99"/>
      <c r="AI71" s="99"/>
      <c r="AJ71" s="99"/>
      <c r="AK71" s="99"/>
      <c r="AL71" s="99"/>
      <c r="AM71" s="99"/>
      <c r="AN71" s="99"/>
      <c r="AO71" s="99"/>
      <c r="AP71" s="99"/>
      <c r="AQ71" s="99"/>
      <c r="AR71" s="99"/>
      <c r="AS71" s="99"/>
      <c r="AT71" s="100"/>
      <c r="AU71" s="572"/>
      <c r="AV71" s="573"/>
      <c r="AW71" s="574"/>
    </row>
    <row r="72" spans="1:49" ht="4.5" customHeight="1" thickBot="1" x14ac:dyDescent="0.3">
      <c r="A72" s="12"/>
      <c r="B72" s="12"/>
      <c r="C72" s="12"/>
      <c r="D72" s="12"/>
      <c r="E72" s="12"/>
      <c r="F72" s="12"/>
      <c r="G72" s="12"/>
      <c r="H72" s="12"/>
      <c r="I72" s="12"/>
    </row>
    <row r="73" spans="1:49" ht="15.75" customHeight="1" x14ac:dyDescent="0.25">
      <c r="A73" s="575" t="e">
        <f>A68</f>
        <v>#N/A</v>
      </c>
      <c r="B73" s="576"/>
      <c r="C73" s="576"/>
      <c r="D73" s="576"/>
      <c r="E73" s="576"/>
      <c r="F73" s="576"/>
      <c r="G73" s="576"/>
      <c r="H73" s="576"/>
      <c r="I73" s="576"/>
      <c r="J73" s="101"/>
      <c r="K73" s="89"/>
      <c r="L73" s="97"/>
      <c r="M73" s="97"/>
      <c r="N73" s="97"/>
      <c r="O73" s="97"/>
      <c r="P73" s="97"/>
      <c r="Q73" s="97"/>
      <c r="R73" s="97"/>
      <c r="S73" s="97"/>
      <c r="T73" s="97"/>
      <c r="U73" s="97"/>
      <c r="V73" s="97"/>
      <c r="W73" s="97"/>
      <c r="X73" s="97"/>
      <c r="Y73" s="97"/>
      <c r="Z73" s="97"/>
      <c r="AA73" s="97"/>
      <c r="AB73" s="97"/>
      <c r="AC73" s="97"/>
      <c r="AD73" s="97"/>
      <c r="AE73" s="97"/>
      <c r="AF73" s="97"/>
      <c r="AG73" s="97"/>
      <c r="AH73" s="97"/>
      <c r="AI73" s="97"/>
      <c r="AJ73" s="97"/>
      <c r="AK73" s="97"/>
      <c r="AL73" s="97"/>
      <c r="AM73" s="97"/>
      <c r="AN73" s="97"/>
      <c r="AO73" s="97"/>
      <c r="AP73" s="97"/>
      <c r="AQ73" s="97"/>
      <c r="AR73" s="97"/>
      <c r="AS73" s="97"/>
      <c r="AT73" s="98"/>
      <c r="AU73" s="579"/>
      <c r="AV73" s="580"/>
      <c r="AW73" s="581"/>
    </row>
    <row r="74" spans="1:49" ht="15.75" customHeight="1" thickBot="1" x14ac:dyDescent="0.3">
      <c r="A74" s="570" t="e">
        <f>A69</f>
        <v>#N/A</v>
      </c>
      <c r="B74" s="571"/>
      <c r="C74" s="571"/>
      <c r="D74" s="571"/>
      <c r="E74" s="571"/>
      <c r="F74" s="571"/>
      <c r="G74" s="571"/>
      <c r="H74" s="571"/>
      <c r="I74" s="571"/>
      <c r="J74" s="102"/>
      <c r="K74" s="91"/>
      <c r="L74" s="99"/>
      <c r="M74" s="99"/>
      <c r="N74" s="99"/>
      <c r="O74" s="99"/>
      <c r="P74" s="99"/>
      <c r="Q74" s="99"/>
      <c r="R74" s="99"/>
      <c r="S74" s="99"/>
      <c r="T74" s="99"/>
      <c r="U74" s="99"/>
      <c r="V74" s="99"/>
      <c r="W74" s="99"/>
      <c r="X74" s="99"/>
      <c r="Y74" s="99"/>
      <c r="Z74" s="99"/>
      <c r="AA74" s="99"/>
      <c r="AB74" s="99"/>
      <c r="AC74" s="99"/>
      <c r="AD74" s="99"/>
      <c r="AE74" s="99"/>
      <c r="AF74" s="99"/>
      <c r="AG74" s="99"/>
      <c r="AH74" s="99"/>
      <c r="AI74" s="99"/>
      <c r="AJ74" s="99"/>
      <c r="AK74" s="99"/>
      <c r="AL74" s="99"/>
      <c r="AM74" s="99"/>
      <c r="AN74" s="99"/>
      <c r="AO74" s="99"/>
      <c r="AP74" s="99"/>
      <c r="AQ74" s="99"/>
      <c r="AR74" s="99"/>
      <c r="AS74" s="99"/>
      <c r="AT74" s="100"/>
      <c r="AU74" s="572"/>
      <c r="AV74" s="573"/>
      <c r="AW74" s="574"/>
    </row>
    <row r="75" spans="1:49" ht="15.75" customHeight="1" x14ac:dyDescent="0.25">
      <c r="A75" s="575" t="e">
        <f>A70</f>
        <v>#N/A</v>
      </c>
      <c r="B75" s="576"/>
      <c r="C75" s="576"/>
      <c r="D75" s="576"/>
      <c r="E75" s="576"/>
      <c r="F75" s="576"/>
      <c r="G75" s="576"/>
      <c r="H75" s="576"/>
      <c r="I75" s="576"/>
      <c r="J75" s="101"/>
      <c r="K75" s="89"/>
      <c r="L75" s="97"/>
      <c r="M75" s="97"/>
      <c r="N75" s="97"/>
      <c r="O75" s="97"/>
      <c r="P75" s="97"/>
      <c r="Q75" s="97"/>
      <c r="R75" s="97"/>
      <c r="S75" s="97"/>
      <c r="T75" s="97"/>
      <c r="U75" s="97"/>
      <c r="V75" s="97"/>
      <c r="W75" s="97"/>
      <c r="X75" s="97"/>
      <c r="Y75" s="97"/>
      <c r="Z75" s="97"/>
      <c r="AA75" s="97"/>
      <c r="AB75" s="97"/>
      <c r="AC75" s="97"/>
      <c r="AD75" s="97"/>
      <c r="AE75" s="97"/>
      <c r="AF75" s="97"/>
      <c r="AG75" s="97"/>
      <c r="AH75" s="97"/>
      <c r="AI75" s="97"/>
      <c r="AJ75" s="97"/>
      <c r="AK75" s="97"/>
      <c r="AL75" s="97"/>
      <c r="AM75" s="97"/>
      <c r="AN75" s="97"/>
      <c r="AO75" s="97"/>
      <c r="AP75" s="97"/>
      <c r="AQ75" s="97"/>
      <c r="AR75" s="97"/>
      <c r="AS75" s="97"/>
      <c r="AT75" s="98"/>
      <c r="AU75" s="386"/>
      <c r="AV75" s="577"/>
      <c r="AW75" s="578"/>
    </row>
    <row r="76" spans="1:49" ht="15.75" customHeight="1" thickBot="1" x14ac:dyDescent="0.3">
      <c r="A76" s="570" t="e">
        <f>A71</f>
        <v>#N/A</v>
      </c>
      <c r="B76" s="571"/>
      <c r="C76" s="571"/>
      <c r="D76" s="571"/>
      <c r="E76" s="571"/>
      <c r="F76" s="571"/>
      <c r="G76" s="571"/>
      <c r="H76" s="571"/>
      <c r="I76" s="571"/>
      <c r="J76" s="102"/>
      <c r="K76" s="91"/>
      <c r="L76" s="99"/>
      <c r="M76" s="99"/>
      <c r="N76" s="99"/>
      <c r="O76" s="99"/>
      <c r="P76" s="99"/>
      <c r="Q76" s="99"/>
      <c r="R76" s="99"/>
      <c r="S76" s="99"/>
      <c r="T76" s="99"/>
      <c r="U76" s="99"/>
      <c r="V76" s="99"/>
      <c r="W76" s="99"/>
      <c r="X76" s="99"/>
      <c r="Y76" s="99"/>
      <c r="Z76" s="99"/>
      <c r="AA76" s="99"/>
      <c r="AB76" s="99"/>
      <c r="AC76" s="99"/>
      <c r="AD76" s="99"/>
      <c r="AE76" s="99"/>
      <c r="AF76" s="99"/>
      <c r="AG76" s="99"/>
      <c r="AH76" s="99"/>
      <c r="AI76" s="99"/>
      <c r="AJ76" s="99"/>
      <c r="AK76" s="99"/>
      <c r="AL76" s="99"/>
      <c r="AM76" s="99"/>
      <c r="AN76" s="99"/>
      <c r="AO76" s="99"/>
      <c r="AP76" s="99"/>
      <c r="AQ76" s="99"/>
      <c r="AR76" s="99"/>
      <c r="AS76" s="99"/>
      <c r="AT76" s="100"/>
      <c r="AU76" s="572"/>
      <c r="AV76" s="573"/>
      <c r="AW76" s="574"/>
    </row>
    <row r="77" spans="1:49" ht="4.5" customHeight="1" x14ac:dyDescent="0.25"/>
    <row r="80" spans="1:49" x14ac:dyDescent="0.25">
      <c r="M80" t="s">
        <v>340</v>
      </c>
      <c r="R80" s="103"/>
      <c r="S80" s="103"/>
      <c r="T80" s="103"/>
      <c r="U80" s="103"/>
      <c r="V80" s="103"/>
      <c r="W80" s="103"/>
      <c r="X80" s="103"/>
      <c r="Y80" s="103"/>
      <c r="Z80" s="103"/>
      <c r="AA80" s="103"/>
      <c r="AB80" s="103"/>
      <c r="AC80" s="103"/>
      <c r="AD80" s="103"/>
      <c r="AF80" t="s">
        <v>284</v>
      </c>
      <c r="AK80" s="103"/>
      <c r="AL80" s="103"/>
      <c r="AM80" s="103"/>
      <c r="AN80" s="103"/>
      <c r="AO80" s="103"/>
      <c r="AP80" s="103"/>
      <c r="AQ80" s="103"/>
      <c r="AR80" s="103"/>
      <c r="AS80" s="103"/>
      <c r="AT80" s="103"/>
      <c r="AU80" s="103"/>
      <c r="AV80" s="103"/>
      <c r="AW80" s="103"/>
    </row>
    <row r="81" spans="1:49" x14ac:dyDescent="0.25">
      <c r="A81" s="591" t="s">
        <v>208</v>
      </c>
      <c r="B81" s="591"/>
      <c r="C81" s="591"/>
      <c r="D81" s="591"/>
      <c r="E81" s="591"/>
      <c r="F81" s="591"/>
      <c r="G81" s="591"/>
      <c r="H81" s="591"/>
      <c r="I81" s="591"/>
      <c r="J81" s="591"/>
      <c r="K81" s="591"/>
      <c r="L81" s="591"/>
      <c r="M81" s="591"/>
      <c r="N81" s="591"/>
      <c r="O81" s="591"/>
      <c r="P81" s="591"/>
      <c r="Q81" s="591"/>
      <c r="R81" s="591"/>
      <c r="S81" s="591"/>
      <c r="T81" s="591"/>
      <c r="U81" s="591"/>
      <c r="V81" s="591"/>
      <c r="W81" s="591"/>
      <c r="X81" s="591"/>
      <c r="Y81" s="591"/>
      <c r="Z81" s="591"/>
      <c r="AA81" s="591"/>
      <c r="AB81" s="591"/>
      <c r="AC81" s="591"/>
      <c r="AD81" s="591"/>
      <c r="AE81" s="591"/>
      <c r="AF81" s="591"/>
      <c r="AG81" s="591"/>
      <c r="AH81" s="591"/>
      <c r="AI81" s="591"/>
      <c r="AJ81" s="591"/>
      <c r="AK81" s="591"/>
      <c r="AL81" s="591"/>
      <c r="AM81" s="591"/>
      <c r="AN81" s="591"/>
      <c r="AO81" s="591"/>
      <c r="AP81" s="591"/>
      <c r="AQ81" s="591"/>
      <c r="AR81" s="591"/>
      <c r="AS81" s="591"/>
      <c r="AT81" s="591"/>
      <c r="AU81" s="591"/>
      <c r="AV81" s="591"/>
      <c r="AW81" s="591"/>
    </row>
    <row r="82" spans="1:49" x14ac:dyDescent="0.25">
      <c r="A82" s="591"/>
      <c r="B82" s="591"/>
      <c r="C82" s="591"/>
      <c r="D82" s="591"/>
      <c r="E82" s="591"/>
      <c r="F82" s="591"/>
      <c r="G82" s="591"/>
      <c r="H82" s="591"/>
      <c r="I82" s="591"/>
      <c r="J82" s="591"/>
      <c r="K82" s="591"/>
      <c r="L82" s="591"/>
      <c r="M82" s="591"/>
      <c r="N82" s="591"/>
      <c r="O82" s="591"/>
      <c r="P82" s="591"/>
      <c r="Q82" s="591"/>
      <c r="R82" s="591"/>
      <c r="S82" s="591"/>
      <c r="T82" s="591"/>
      <c r="U82" s="591"/>
      <c r="V82" s="591"/>
      <c r="W82" s="591"/>
      <c r="X82" s="591"/>
      <c r="Y82" s="591"/>
      <c r="Z82" s="591"/>
      <c r="AA82" s="591"/>
      <c r="AB82" s="591"/>
      <c r="AC82" s="591"/>
      <c r="AD82" s="591"/>
      <c r="AE82" s="591"/>
      <c r="AF82" s="591"/>
      <c r="AG82" s="591"/>
      <c r="AH82" s="591"/>
      <c r="AI82" s="591"/>
      <c r="AJ82" s="591"/>
      <c r="AK82" s="591"/>
      <c r="AL82" s="591"/>
      <c r="AM82" s="591"/>
      <c r="AN82" s="591"/>
      <c r="AO82" s="591"/>
      <c r="AP82" s="591"/>
      <c r="AQ82" s="591"/>
      <c r="AR82" s="591"/>
      <c r="AS82" s="591"/>
      <c r="AT82" s="591"/>
      <c r="AU82" s="591"/>
      <c r="AV82" s="591"/>
      <c r="AW82" s="591"/>
    </row>
    <row r="83" spans="1:49" ht="15.75" thickBot="1" x14ac:dyDescent="0.3">
      <c r="B83" t="s">
        <v>331</v>
      </c>
      <c r="E83" s="583" t="str">
        <f>Spielbericht!D14</f>
        <v>2. HD</v>
      </c>
      <c r="F83" s="583"/>
      <c r="G83" s="583"/>
      <c r="H83" s="583"/>
      <c r="I83" s="208">
        <f>Spielbericht!A14</f>
        <v>0</v>
      </c>
      <c r="J83" s="208"/>
      <c r="K83" s="208"/>
      <c r="L83" s="592" t="s">
        <v>334</v>
      </c>
      <c r="M83" s="592"/>
      <c r="N83" s="592"/>
      <c r="O83" s="592"/>
      <c r="P83" s="592"/>
      <c r="Q83" s="592"/>
      <c r="R83" s="592"/>
      <c r="S83" s="592"/>
      <c r="T83" s="592"/>
      <c r="U83" s="592"/>
      <c r="V83" s="592"/>
      <c r="W83" s="592"/>
      <c r="X83" s="592"/>
      <c r="Y83" s="592"/>
      <c r="Z83" s="592"/>
      <c r="AA83" s="592"/>
      <c r="AB83" s="592"/>
      <c r="AC83" s="592"/>
      <c r="AD83" s="592"/>
      <c r="AE83" s="592"/>
      <c r="AF83" s="592"/>
      <c r="AG83" s="592"/>
      <c r="AH83" s="592"/>
      <c r="AI83" s="592"/>
      <c r="AJ83" s="592"/>
      <c r="AK83" s="592"/>
      <c r="AL83" s="592"/>
    </row>
    <row r="84" spans="1:49" ht="15.75" thickBot="1" x14ac:dyDescent="0.3">
      <c r="B84" t="s">
        <v>336</v>
      </c>
      <c r="E84" s="583">
        <f ca="1">E46</f>
        <v>42418</v>
      </c>
      <c r="F84" s="208"/>
      <c r="G84" s="208"/>
      <c r="H84" s="208"/>
      <c r="I84" s="208"/>
      <c r="J84" s="208"/>
      <c r="K84" s="208"/>
      <c r="L84" s="94"/>
      <c r="M84" s="584" t="e">
        <f>Spielbericht!K14</f>
        <v>#N/A</v>
      </c>
      <c r="N84" s="585"/>
      <c r="O84" s="585"/>
      <c r="P84" s="585"/>
      <c r="Q84" s="585"/>
      <c r="R84" s="585"/>
      <c r="S84" s="585"/>
      <c r="T84" s="585"/>
      <c r="U84" s="586"/>
      <c r="V84" s="95" t="s">
        <v>337</v>
      </c>
      <c r="W84" s="580" t="str">
        <f>IF(Spielbericht!BN14="","",Spielbericht!BN14)</f>
        <v/>
      </c>
      <c r="X84" s="580"/>
      <c r="Y84" s="111" t="s">
        <v>301</v>
      </c>
      <c r="Z84" s="580" t="str">
        <f>IF(Spielbericht!BQ14="","",Spielbericht!BQ14)</f>
        <v/>
      </c>
      <c r="AA84" s="581"/>
      <c r="AB84" s="584" t="e">
        <f>Spielbericht!AN14</f>
        <v>#N/A</v>
      </c>
      <c r="AC84" s="585"/>
      <c r="AD84" s="585"/>
      <c r="AE84" s="585"/>
      <c r="AF84" s="585"/>
      <c r="AG84" s="585"/>
      <c r="AH84" s="585"/>
      <c r="AI84" s="585"/>
      <c r="AJ84" s="586"/>
      <c r="AK84" s="93"/>
      <c r="AM84" s="58" t="s">
        <v>29</v>
      </c>
      <c r="AQ84" s="4"/>
      <c r="AR84" s="4"/>
      <c r="AS84" s="4"/>
      <c r="AT84" s="4"/>
      <c r="AU84" s="4"/>
      <c r="AV84" s="4"/>
      <c r="AW84" s="4"/>
    </row>
    <row r="85" spans="1:49" ht="15.75" thickBot="1" x14ac:dyDescent="0.3">
      <c r="B85" t="s">
        <v>335</v>
      </c>
      <c r="E85" s="382"/>
      <c r="F85" s="382"/>
      <c r="G85" s="382"/>
      <c r="H85" s="382"/>
      <c r="I85" s="382"/>
      <c r="J85" s="382"/>
      <c r="K85" s="382"/>
      <c r="M85" s="587" t="e">
        <f>Spielbericht!K15</f>
        <v>#N/A</v>
      </c>
      <c r="N85" s="588"/>
      <c r="O85" s="588"/>
      <c r="P85" s="588"/>
      <c r="Q85" s="588"/>
      <c r="R85" s="588"/>
      <c r="S85" s="588"/>
      <c r="T85" s="588"/>
      <c r="U85" s="589"/>
      <c r="V85" s="96" t="s">
        <v>338</v>
      </c>
      <c r="W85" s="182" t="str">
        <f>IF(Spielbericht!BT14="","",Spielbericht!BT14)</f>
        <v/>
      </c>
      <c r="X85" s="182"/>
      <c r="Y85" s="109" t="s">
        <v>301</v>
      </c>
      <c r="Z85" s="182" t="str">
        <f>IF(Spielbericht!BW14="","",Spielbericht!BW14)</f>
        <v/>
      </c>
      <c r="AA85" s="590"/>
      <c r="AB85" s="587" t="e">
        <f>Spielbericht!AN15</f>
        <v>#N/A</v>
      </c>
      <c r="AC85" s="588"/>
      <c r="AD85" s="588"/>
      <c r="AE85" s="588"/>
      <c r="AF85" s="588"/>
      <c r="AG85" s="588"/>
      <c r="AH85" s="588"/>
      <c r="AI85" s="588"/>
      <c r="AJ85" s="589"/>
    </row>
    <row r="86" spans="1:49" ht="15.75" thickBot="1" x14ac:dyDescent="0.3">
      <c r="B86" t="s">
        <v>33</v>
      </c>
      <c r="E86" s="582">
        <f ca="1">TODAY()</f>
        <v>42418</v>
      </c>
      <c r="F86" s="582"/>
      <c r="G86" s="582"/>
      <c r="H86" s="582"/>
      <c r="I86" s="582"/>
      <c r="J86" s="582"/>
      <c r="K86" s="582"/>
      <c r="M86" s="425">
        <f>M46</f>
        <v>0</v>
      </c>
      <c r="N86" s="426"/>
      <c r="O86" s="426"/>
      <c r="P86" s="426"/>
      <c r="Q86" s="426"/>
      <c r="R86" s="426"/>
      <c r="S86" s="426"/>
      <c r="T86" s="426"/>
      <c r="U86" s="427"/>
      <c r="V86" s="91" t="s">
        <v>339</v>
      </c>
      <c r="W86" s="573" t="str">
        <f>IF(Spielbericht!BZ14="","",Spielbericht!BZ14)</f>
        <v/>
      </c>
      <c r="X86" s="573"/>
      <c r="Y86" s="110" t="s">
        <v>301</v>
      </c>
      <c r="Z86" s="573" t="str">
        <f>IF(Spielbericht!CC14="","",Spielbericht!CC14)</f>
        <v/>
      </c>
      <c r="AA86" s="574"/>
      <c r="AB86" s="425">
        <f>AB46</f>
        <v>0</v>
      </c>
      <c r="AC86" s="426"/>
      <c r="AD86" s="426"/>
      <c r="AE86" s="426"/>
      <c r="AF86" s="426"/>
      <c r="AG86" s="426"/>
      <c r="AH86" s="426"/>
      <c r="AI86" s="426"/>
      <c r="AJ86" s="427"/>
      <c r="AK86" s="5"/>
      <c r="AL86" s="5"/>
      <c r="AM86" s="58" t="s">
        <v>332</v>
      </c>
      <c r="AN86" s="5"/>
      <c r="AO86" s="4"/>
      <c r="AP86" s="4"/>
      <c r="AQ86" s="4"/>
      <c r="AR86" s="4"/>
      <c r="AS86" s="58" t="s">
        <v>333</v>
      </c>
      <c r="AU86" s="4"/>
      <c r="AV86" s="4"/>
      <c r="AW86" s="4"/>
    </row>
    <row r="87" spans="1:49" ht="15" customHeight="1" thickBot="1" x14ac:dyDescent="0.3">
      <c r="A87" s="208"/>
      <c r="B87" s="208"/>
      <c r="C87" s="208"/>
      <c r="D87" s="208"/>
      <c r="E87" s="208"/>
      <c r="F87" s="208"/>
      <c r="G87" s="208"/>
      <c r="H87" s="208"/>
      <c r="I87" s="208"/>
      <c r="J87" s="208"/>
      <c r="K87" s="208"/>
      <c r="L87" s="208"/>
      <c r="M87" s="208"/>
      <c r="N87" s="208"/>
      <c r="O87" s="208"/>
      <c r="P87" s="208"/>
      <c r="Q87" s="208"/>
      <c r="R87" s="208"/>
      <c r="S87" s="208"/>
      <c r="T87" s="208"/>
      <c r="U87" s="208"/>
      <c r="V87" s="208"/>
      <c r="W87" s="208"/>
      <c r="X87" s="208"/>
      <c r="Z87" s="208"/>
      <c r="AA87" s="208"/>
      <c r="AB87" s="208"/>
      <c r="AC87" s="208"/>
      <c r="AD87" s="208"/>
      <c r="AE87" s="208"/>
      <c r="AF87" s="208"/>
      <c r="AG87" s="208"/>
      <c r="AH87" s="208"/>
      <c r="AI87" s="208"/>
      <c r="AJ87" s="208"/>
      <c r="AK87" s="208"/>
      <c r="AL87" s="208"/>
      <c r="AM87" s="208"/>
      <c r="AN87" s="208"/>
      <c r="AO87" s="208"/>
      <c r="AP87" s="208"/>
      <c r="AQ87" s="208"/>
      <c r="AR87" s="208"/>
      <c r="AS87" s="208"/>
      <c r="AT87" s="208"/>
      <c r="AU87" s="208"/>
      <c r="AV87" s="208"/>
      <c r="AW87" s="208"/>
    </row>
    <row r="88" spans="1:49" ht="15.75" customHeight="1" x14ac:dyDescent="0.25">
      <c r="A88" s="575" t="e">
        <f>M84</f>
        <v>#N/A</v>
      </c>
      <c r="B88" s="576"/>
      <c r="C88" s="576"/>
      <c r="D88" s="576"/>
      <c r="E88" s="576"/>
      <c r="F88" s="576"/>
      <c r="G88" s="576"/>
      <c r="H88" s="576"/>
      <c r="I88" s="576"/>
      <c r="J88" s="101"/>
      <c r="K88" s="89"/>
      <c r="L88" s="97"/>
      <c r="M88" s="97"/>
      <c r="N88" s="97"/>
      <c r="O88" s="97"/>
      <c r="P88" s="97"/>
      <c r="Q88" s="97"/>
      <c r="R88" s="97"/>
      <c r="S88" s="97"/>
      <c r="T88" s="97"/>
      <c r="U88" s="97"/>
      <c r="V88" s="97"/>
      <c r="W88" s="97"/>
      <c r="X88" s="97"/>
      <c r="Y88" s="97"/>
      <c r="Z88" s="97"/>
      <c r="AA88" s="97"/>
      <c r="AB88" s="97"/>
      <c r="AC88" s="97"/>
      <c r="AD88" s="97"/>
      <c r="AE88" s="97"/>
      <c r="AF88" s="97"/>
      <c r="AG88" s="97"/>
      <c r="AH88" s="97"/>
      <c r="AI88" s="97"/>
      <c r="AJ88" s="97"/>
      <c r="AK88" s="97"/>
      <c r="AL88" s="97"/>
      <c r="AM88" s="97"/>
      <c r="AN88" s="97"/>
      <c r="AO88" s="97"/>
      <c r="AP88" s="97"/>
      <c r="AQ88" s="97"/>
      <c r="AR88" s="97"/>
      <c r="AS88" s="97"/>
      <c r="AT88" s="98"/>
      <c r="AU88" s="579"/>
      <c r="AV88" s="580"/>
      <c r="AW88" s="581"/>
    </row>
    <row r="89" spans="1:49" ht="15.75" customHeight="1" thickBot="1" x14ac:dyDescent="0.3">
      <c r="A89" s="570" t="e">
        <f>M85</f>
        <v>#N/A</v>
      </c>
      <c r="B89" s="571"/>
      <c r="C89" s="571"/>
      <c r="D89" s="571"/>
      <c r="E89" s="571"/>
      <c r="F89" s="571"/>
      <c r="G89" s="571"/>
      <c r="H89" s="571"/>
      <c r="I89" s="571"/>
      <c r="J89" s="102"/>
      <c r="K89" s="91"/>
      <c r="L89" s="99"/>
      <c r="M89" s="99"/>
      <c r="N89" s="99"/>
      <c r="O89" s="99"/>
      <c r="P89" s="99"/>
      <c r="Q89" s="99"/>
      <c r="R89" s="99"/>
      <c r="S89" s="99"/>
      <c r="T89" s="99"/>
      <c r="U89" s="99"/>
      <c r="V89" s="99"/>
      <c r="W89" s="99"/>
      <c r="X89" s="99"/>
      <c r="Y89" s="99"/>
      <c r="Z89" s="99"/>
      <c r="AA89" s="99"/>
      <c r="AB89" s="99"/>
      <c r="AC89" s="99"/>
      <c r="AD89" s="99"/>
      <c r="AE89" s="99"/>
      <c r="AF89" s="99"/>
      <c r="AG89" s="99"/>
      <c r="AH89" s="99"/>
      <c r="AI89" s="99"/>
      <c r="AJ89" s="99"/>
      <c r="AK89" s="99"/>
      <c r="AL89" s="99"/>
      <c r="AM89" s="99"/>
      <c r="AN89" s="99"/>
      <c r="AO89" s="99"/>
      <c r="AP89" s="99"/>
      <c r="AQ89" s="99"/>
      <c r="AR89" s="99"/>
      <c r="AS89" s="99"/>
      <c r="AT89" s="100"/>
      <c r="AU89" s="572"/>
      <c r="AV89" s="573"/>
      <c r="AW89" s="574"/>
    </row>
    <row r="90" spans="1:49" ht="15.75" customHeight="1" x14ac:dyDescent="0.25">
      <c r="A90" s="575" t="e">
        <f>AB84</f>
        <v>#N/A</v>
      </c>
      <c r="B90" s="576"/>
      <c r="C90" s="576"/>
      <c r="D90" s="576"/>
      <c r="E90" s="576"/>
      <c r="F90" s="576"/>
      <c r="G90" s="576"/>
      <c r="H90" s="576"/>
      <c r="I90" s="576"/>
      <c r="J90" s="101"/>
      <c r="K90" s="89"/>
      <c r="L90" s="97"/>
      <c r="M90" s="97"/>
      <c r="N90" s="97"/>
      <c r="O90" s="97"/>
      <c r="P90" s="97"/>
      <c r="Q90" s="97"/>
      <c r="R90" s="97"/>
      <c r="S90" s="97"/>
      <c r="T90" s="97"/>
      <c r="U90" s="97"/>
      <c r="V90" s="97"/>
      <c r="W90" s="97"/>
      <c r="X90" s="97"/>
      <c r="Y90" s="97"/>
      <c r="Z90" s="97"/>
      <c r="AA90" s="97"/>
      <c r="AB90" s="97"/>
      <c r="AC90" s="97"/>
      <c r="AD90" s="97"/>
      <c r="AE90" s="97"/>
      <c r="AF90" s="97"/>
      <c r="AG90" s="97"/>
      <c r="AH90" s="97"/>
      <c r="AI90" s="97"/>
      <c r="AJ90" s="97"/>
      <c r="AK90" s="97"/>
      <c r="AL90" s="97"/>
      <c r="AM90" s="97"/>
      <c r="AN90" s="97"/>
      <c r="AO90" s="97"/>
      <c r="AP90" s="97"/>
      <c r="AQ90" s="97"/>
      <c r="AR90" s="97"/>
      <c r="AS90" s="97"/>
      <c r="AT90" s="98"/>
      <c r="AU90" s="386"/>
      <c r="AV90" s="577"/>
      <c r="AW90" s="578"/>
    </row>
    <row r="91" spans="1:49" ht="15.75" customHeight="1" thickBot="1" x14ac:dyDescent="0.3">
      <c r="A91" s="570" t="e">
        <f>AB85</f>
        <v>#N/A</v>
      </c>
      <c r="B91" s="571"/>
      <c r="C91" s="571"/>
      <c r="D91" s="571"/>
      <c r="E91" s="571"/>
      <c r="F91" s="571"/>
      <c r="G91" s="571"/>
      <c r="H91" s="571"/>
      <c r="I91" s="571"/>
      <c r="J91" s="102"/>
      <c r="K91" s="91"/>
      <c r="L91" s="99"/>
      <c r="M91" s="99"/>
      <c r="N91" s="99"/>
      <c r="O91" s="99"/>
      <c r="P91" s="99"/>
      <c r="Q91" s="99"/>
      <c r="R91" s="99"/>
      <c r="S91" s="99"/>
      <c r="T91" s="99"/>
      <c r="U91" s="99"/>
      <c r="V91" s="99"/>
      <c r="W91" s="99"/>
      <c r="X91" s="99"/>
      <c r="Y91" s="99"/>
      <c r="Z91" s="99"/>
      <c r="AA91" s="99"/>
      <c r="AB91" s="99"/>
      <c r="AC91" s="99"/>
      <c r="AD91" s="99"/>
      <c r="AE91" s="99"/>
      <c r="AF91" s="99"/>
      <c r="AG91" s="99"/>
      <c r="AH91" s="99"/>
      <c r="AI91" s="99"/>
      <c r="AJ91" s="99"/>
      <c r="AK91" s="99"/>
      <c r="AL91" s="99"/>
      <c r="AM91" s="99"/>
      <c r="AN91" s="99"/>
      <c r="AO91" s="99"/>
      <c r="AP91" s="99"/>
      <c r="AQ91" s="99"/>
      <c r="AR91" s="99"/>
      <c r="AS91" s="99"/>
      <c r="AT91" s="100"/>
      <c r="AU91" s="572"/>
      <c r="AV91" s="573"/>
      <c r="AW91" s="574"/>
    </row>
    <row r="92" spans="1:49" ht="4.5" customHeight="1" thickBot="1" x14ac:dyDescent="0.3">
      <c r="A92" s="12"/>
      <c r="B92" s="12"/>
      <c r="C92" s="12"/>
      <c r="D92" s="12"/>
      <c r="E92" s="12"/>
      <c r="F92" s="12"/>
      <c r="G92" s="12"/>
      <c r="H92" s="12"/>
      <c r="I92" s="12"/>
      <c r="K92" s="5"/>
      <c r="L92" s="5"/>
    </row>
    <row r="93" spans="1:49" ht="15.75" customHeight="1" x14ac:dyDescent="0.25">
      <c r="A93" s="575" t="e">
        <f>A88</f>
        <v>#N/A</v>
      </c>
      <c r="B93" s="576"/>
      <c r="C93" s="576"/>
      <c r="D93" s="576"/>
      <c r="E93" s="576"/>
      <c r="F93" s="576"/>
      <c r="G93" s="576"/>
      <c r="H93" s="576"/>
      <c r="I93" s="576"/>
      <c r="J93" s="101"/>
      <c r="K93" s="89"/>
      <c r="L93" s="97"/>
      <c r="M93" s="97"/>
      <c r="N93" s="97"/>
      <c r="O93" s="97"/>
      <c r="P93" s="97"/>
      <c r="Q93" s="97"/>
      <c r="R93" s="97"/>
      <c r="S93" s="97"/>
      <c r="T93" s="97"/>
      <c r="U93" s="97"/>
      <c r="V93" s="97"/>
      <c r="W93" s="97"/>
      <c r="X93" s="97"/>
      <c r="Y93" s="97"/>
      <c r="Z93" s="97"/>
      <c r="AA93" s="97"/>
      <c r="AB93" s="97"/>
      <c r="AC93" s="97"/>
      <c r="AD93" s="97"/>
      <c r="AE93" s="97"/>
      <c r="AF93" s="97"/>
      <c r="AG93" s="97"/>
      <c r="AH93" s="97"/>
      <c r="AI93" s="97"/>
      <c r="AJ93" s="97"/>
      <c r="AK93" s="97"/>
      <c r="AL93" s="97"/>
      <c r="AM93" s="97"/>
      <c r="AN93" s="97"/>
      <c r="AO93" s="97"/>
      <c r="AP93" s="97"/>
      <c r="AQ93" s="97"/>
      <c r="AR93" s="97"/>
      <c r="AS93" s="97"/>
      <c r="AT93" s="98"/>
      <c r="AU93" s="579"/>
      <c r="AV93" s="580"/>
      <c r="AW93" s="581"/>
    </row>
    <row r="94" spans="1:49" ht="15.75" customHeight="1" thickBot="1" x14ac:dyDescent="0.3">
      <c r="A94" s="570" t="e">
        <f>A89</f>
        <v>#N/A</v>
      </c>
      <c r="B94" s="571"/>
      <c r="C94" s="571"/>
      <c r="D94" s="571"/>
      <c r="E94" s="571"/>
      <c r="F94" s="571"/>
      <c r="G94" s="571"/>
      <c r="H94" s="571"/>
      <c r="I94" s="571"/>
      <c r="J94" s="102"/>
      <c r="K94" s="91"/>
      <c r="L94" s="99"/>
      <c r="M94" s="99"/>
      <c r="N94" s="99"/>
      <c r="O94" s="99"/>
      <c r="P94" s="99"/>
      <c r="Q94" s="99"/>
      <c r="R94" s="99"/>
      <c r="S94" s="99"/>
      <c r="T94" s="99"/>
      <c r="U94" s="99"/>
      <c r="V94" s="99"/>
      <c r="W94" s="99"/>
      <c r="X94" s="99"/>
      <c r="Y94" s="99"/>
      <c r="Z94" s="99"/>
      <c r="AA94" s="99"/>
      <c r="AB94" s="99"/>
      <c r="AC94" s="99"/>
      <c r="AD94" s="99"/>
      <c r="AE94" s="99"/>
      <c r="AF94" s="99"/>
      <c r="AG94" s="99"/>
      <c r="AH94" s="99"/>
      <c r="AI94" s="99"/>
      <c r="AJ94" s="99"/>
      <c r="AK94" s="99"/>
      <c r="AL94" s="99"/>
      <c r="AM94" s="99"/>
      <c r="AN94" s="99"/>
      <c r="AO94" s="99"/>
      <c r="AP94" s="99"/>
      <c r="AQ94" s="99"/>
      <c r="AR94" s="99"/>
      <c r="AS94" s="99"/>
      <c r="AT94" s="100"/>
      <c r="AU94" s="572"/>
      <c r="AV94" s="573"/>
      <c r="AW94" s="574"/>
    </row>
    <row r="95" spans="1:49" ht="15.75" customHeight="1" x14ac:dyDescent="0.25">
      <c r="A95" s="575" t="e">
        <f>A90</f>
        <v>#N/A</v>
      </c>
      <c r="B95" s="576"/>
      <c r="C95" s="576"/>
      <c r="D95" s="576"/>
      <c r="E95" s="576"/>
      <c r="F95" s="576"/>
      <c r="G95" s="576"/>
      <c r="H95" s="576"/>
      <c r="I95" s="576"/>
      <c r="J95" s="101"/>
      <c r="K95" s="89"/>
      <c r="L95" s="97"/>
      <c r="M95" s="97"/>
      <c r="N95" s="97"/>
      <c r="O95" s="97"/>
      <c r="P95" s="97"/>
      <c r="Q95" s="97"/>
      <c r="R95" s="97"/>
      <c r="S95" s="97"/>
      <c r="T95" s="97"/>
      <c r="U95" s="97"/>
      <c r="V95" s="97"/>
      <c r="W95" s="97"/>
      <c r="X95" s="97"/>
      <c r="Y95" s="97"/>
      <c r="Z95" s="97"/>
      <c r="AA95" s="97"/>
      <c r="AB95" s="97"/>
      <c r="AC95" s="97"/>
      <c r="AD95" s="97"/>
      <c r="AE95" s="97"/>
      <c r="AF95" s="97"/>
      <c r="AG95" s="97"/>
      <c r="AH95" s="97"/>
      <c r="AI95" s="97"/>
      <c r="AJ95" s="97"/>
      <c r="AK95" s="97"/>
      <c r="AL95" s="97"/>
      <c r="AM95" s="97"/>
      <c r="AN95" s="97"/>
      <c r="AO95" s="97"/>
      <c r="AP95" s="97"/>
      <c r="AQ95" s="97"/>
      <c r="AR95" s="97"/>
      <c r="AS95" s="97"/>
      <c r="AT95" s="98"/>
      <c r="AU95" s="386"/>
      <c r="AV95" s="577"/>
      <c r="AW95" s="578"/>
    </row>
    <row r="96" spans="1:49" ht="15.75" customHeight="1" thickBot="1" x14ac:dyDescent="0.3">
      <c r="A96" s="570" t="e">
        <f>A91</f>
        <v>#N/A</v>
      </c>
      <c r="B96" s="571"/>
      <c r="C96" s="571"/>
      <c r="D96" s="571"/>
      <c r="E96" s="571"/>
      <c r="F96" s="571"/>
      <c r="G96" s="571"/>
      <c r="H96" s="571"/>
      <c r="I96" s="571"/>
      <c r="J96" s="102"/>
      <c r="K96" s="91"/>
      <c r="L96" s="99"/>
      <c r="M96" s="99"/>
      <c r="N96" s="99"/>
      <c r="O96" s="99"/>
      <c r="P96" s="99"/>
      <c r="Q96" s="99"/>
      <c r="R96" s="99"/>
      <c r="S96" s="99"/>
      <c r="T96" s="99"/>
      <c r="U96" s="99"/>
      <c r="V96" s="99"/>
      <c r="W96" s="99"/>
      <c r="X96" s="99"/>
      <c r="Y96" s="99"/>
      <c r="Z96" s="99"/>
      <c r="AA96" s="99"/>
      <c r="AB96" s="99"/>
      <c r="AC96" s="99"/>
      <c r="AD96" s="99"/>
      <c r="AE96" s="99"/>
      <c r="AF96" s="99"/>
      <c r="AG96" s="99"/>
      <c r="AH96" s="99"/>
      <c r="AI96" s="99"/>
      <c r="AJ96" s="99"/>
      <c r="AK96" s="99"/>
      <c r="AL96" s="99"/>
      <c r="AM96" s="99"/>
      <c r="AN96" s="99"/>
      <c r="AO96" s="99"/>
      <c r="AP96" s="99"/>
      <c r="AQ96" s="99"/>
      <c r="AR96" s="99"/>
      <c r="AS96" s="99"/>
      <c r="AT96" s="100"/>
      <c r="AU96" s="572"/>
      <c r="AV96" s="573"/>
      <c r="AW96" s="574"/>
    </row>
    <row r="97" spans="1:49" ht="4.5" customHeight="1" thickBot="1" x14ac:dyDescent="0.3">
      <c r="A97" s="12"/>
      <c r="B97" s="12"/>
      <c r="C97" s="12"/>
      <c r="D97" s="12"/>
      <c r="E97" s="12"/>
      <c r="F97" s="12"/>
      <c r="G97" s="12"/>
      <c r="H97" s="12"/>
      <c r="I97" s="12"/>
    </row>
    <row r="98" spans="1:49" ht="15.75" customHeight="1" x14ac:dyDescent="0.25">
      <c r="A98" s="575" t="e">
        <f>A93</f>
        <v>#N/A</v>
      </c>
      <c r="B98" s="576"/>
      <c r="C98" s="576"/>
      <c r="D98" s="576"/>
      <c r="E98" s="576"/>
      <c r="F98" s="576"/>
      <c r="G98" s="576"/>
      <c r="H98" s="576"/>
      <c r="I98" s="576"/>
      <c r="J98" s="101"/>
      <c r="K98" s="89"/>
      <c r="L98" s="97"/>
      <c r="M98" s="97"/>
      <c r="N98" s="97"/>
      <c r="O98" s="97"/>
      <c r="P98" s="97"/>
      <c r="Q98" s="97"/>
      <c r="R98" s="97"/>
      <c r="S98" s="97"/>
      <c r="T98" s="97"/>
      <c r="U98" s="97"/>
      <c r="V98" s="97"/>
      <c r="W98" s="97"/>
      <c r="X98" s="97"/>
      <c r="Y98" s="97"/>
      <c r="Z98" s="97"/>
      <c r="AA98" s="97"/>
      <c r="AB98" s="97"/>
      <c r="AC98" s="97"/>
      <c r="AD98" s="97"/>
      <c r="AE98" s="97"/>
      <c r="AF98" s="97"/>
      <c r="AG98" s="97"/>
      <c r="AH98" s="97"/>
      <c r="AI98" s="97"/>
      <c r="AJ98" s="97"/>
      <c r="AK98" s="97"/>
      <c r="AL98" s="97"/>
      <c r="AM98" s="97"/>
      <c r="AN98" s="97"/>
      <c r="AO98" s="97"/>
      <c r="AP98" s="97"/>
      <c r="AQ98" s="97"/>
      <c r="AR98" s="97"/>
      <c r="AS98" s="97"/>
      <c r="AT98" s="98"/>
      <c r="AU98" s="579"/>
      <c r="AV98" s="580"/>
      <c r="AW98" s="581"/>
    </row>
    <row r="99" spans="1:49" ht="15.75" customHeight="1" thickBot="1" x14ac:dyDescent="0.3">
      <c r="A99" s="570" t="e">
        <f>A94</f>
        <v>#N/A</v>
      </c>
      <c r="B99" s="571"/>
      <c r="C99" s="571"/>
      <c r="D99" s="571"/>
      <c r="E99" s="571"/>
      <c r="F99" s="571"/>
      <c r="G99" s="571"/>
      <c r="H99" s="571"/>
      <c r="I99" s="571"/>
      <c r="J99" s="102"/>
      <c r="K99" s="91"/>
      <c r="L99" s="99"/>
      <c r="M99" s="99"/>
      <c r="N99" s="99"/>
      <c r="O99" s="99"/>
      <c r="P99" s="99"/>
      <c r="Q99" s="99"/>
      <c r="R99" s="99"/>
      <c r="S99" s="99"/>
      <c r="T99" s="99"/>
      <c r="U99" s="99"/>
      <c r="V99" s="99"/>
      <c r="W99" s="99"/>
      <c r="X99" s="99"/>
      <c r="Y99" s="99"/>
      <c r="Z99" s="99"/>
      <c r="AA99" s="99"/>
      <c r="AB99" s="99"/>
      <c r="AC99" s="99"/>
      <c r="AD99" s="99"/>
      <c r="AE99" s="99"/>
      <c r="AF99" s="99"/>
      <c r="AG99" s="99"/>
      <c r="AH99" s="99"/>
      <c r="AI99" s="99"/>
      <c r="AJ99" s="99"/>
      <c r="AK99" s="99"/>
      <c r="AL99" s="99"/>
      <c r="AM99" s="99"/>
      <c r="AN99" s="99"/>
      <c r="AO99" s="99"/>
      <c r="AP99" s="99"/>
      <c r="AQ99" s="99"/>
      <c r="AR99" s="99"/>
      <c r="AS99" s="99"/>
      <c r="AT99" s="100"/>
      <c r="AU99" s="572"/>
      <c r="AV99" s="573"/>
      <c r="AW99" s="574"/>
    </row>
    <row r="100" spans="1:49" ht="15.75" customHeight="1" x14ac:dyDescent="0.25">
      <c r="A100" s="575" t="e">
        <f>A95</f>
        <v>#N/A</v>
      </c>
      <c r="B100" s="576"/>
      <c r="C100" s="576"/>
      <c r="D100" s="576"/>
      <c r="E100" s="576"/>
      <c r="F100" s="576"/>
      <c r="G100" s="576"/>
      <c r="H100" s="576"/>
      <c r="I100" s="576"/>
      <c r="J100" s="101"/>
      <c r="K100" s="89"/>
      <c r="L100" s="97"/>
      <c r="M100" s="97"/>
      <c r="N100" s="97"/>
      <c r="O100" s="97"/>
      <c r="P100" s="97"/>
      <c r="Q100" s="97"/>
      <c r="R100" s="97"/>
      <c r="S100" s="97"/>
      <c r="T100" s="97"/>
      <c r="U100" s="97"/>
      <c r="V100" s="97"/>
      <c r="W100" s="97"/>
      <c r="X100" s="97"/>
      <c r="Y100" s="97"/>
      <c r="Z100" s="97"/>
      <c r="AA100" s="97"/>
      <c r="AB100" s="97"/>
      <c r="AC100" s="97"/>
      <c r="AD100" s="97"/>
      <c r="AE100" s="97"/>
      <c r="AF100" s="97"/>
      <c r="AG100" s="97"/>
      <c r="AH100" s="97"/>
      <c r="AI100" s="97"/>
      <c r="AJ100" s="97"/>
      <c r="AK100" s="97"/>
      <c r="AL100" s="97"/>
      <c r="AM100" s="97"/>
      <c r="AN100" s="97"/>
      <c r="AO100" s="97"/>
      <c r="AP100" s="97"/>
      <c r="AQ100" s="97"/>
      <c r="AR100" s="97"/>
      <c r="AS100" s="97"/>
      <c r="AT100" s="98"/>
      <c r="AU100" s="386"/>
      <c r="AV100" s="577"/>
      <c r="AW100" s="578"/>
    </row>
    <row r="101" spans="1:49" ht="15.75" customHeight="1" thickBot="1" x14ac:dyDescent="0.3">
      <c r="A101" s="570" t="e">
        <f>A96</f>
        <v>#N/A</v>
      </c>
      <c r="B101" s="571"/>
      <c r="C101" s="571"/>
      <c r="D101" s="571"/>
      <c r="E101" s="571"/>
      <c r="F101" s="571"/>
      <c r="G101" s="571"/>
      <c r="H101" s="571"/>
      <c r="I101" s="571"/>
      <c r="J101" s="102"/>
      <c r="K101" s="91"/>
      <c r="L101" s="99"/>
      <c r="M101" s="99"/>
      <c r="N101" s="99"/>
      <c r="O101" s="99"/>
      <c r="P101" s="99"/>
      <c r="Q101" s="99"/>
      <c r="R101" s="99"/>
      <c r="S101" s="99"/>
      <c r="T101" s="99"/>
      <c r="U101" s="99"/>
      <c r="V101" s="99"/>
      <c r="W101" s="99"/>
      <c r="X101" s="99"/>
      <c r="Y101" s="99"/>
      <c r="Z101" s="99"/>
      <c r="AA101" s="99"/>
      <c r="AB101" s="99"/>
      <c r="AC101" s="99"/>
      <c r="AD101" s="99"/>
      <c r="AE101" s="99"/>
      <c r="AF101" s="99"/>
      <c r="AG101" s="99"/>
      <c r="AH101" s="99"/>
      <c r="AI101" s="99"/>
      <c r="AJ101" s="99"/>
      <c r="AK101" s="99"/>
      <c r="AL101" s="99"/>
      <c r="AM101" s="99"/>
      <c r="AN101" s="99"/>
      <c r="AO101" s="99"/>
      <c r="AP101" s="99"/>
      <c r="AQ101" s="99"/>
      <c r="AR101" s="99"/>
      <c r="AS101" s="99"/>
      <c r="AT101" s="100"/>
      <c r="AU101" s="572"/>
      <c r="AV101" s="573"/>
      <c r="AW101" s="574"/>
    </row>
    <row r="102" spans="1:49" ht="4.5" customHeight="1" thickBot="1" x14ac:dyDescent="0.3">
      <c r="A102" s="12"/>
      <c r="B102" s="12"/>
      <c r="C102" s="12"/>
      <c r="D102" s="12"/>
      <c r="E102" s="12"/>
      <c r="F102" s="12"/>
      <c r="G102" s="12"/>
      <c r="H102" s="12"/>
      <c r="I102" s="12"/>
    </row>
    <row r="103" spans="1:49" ht="15.75" customHeight="1" x14ac:dyDescent="0.25">
      <c r="A103" s="575" t="e">
        <f>A98</f>
        <v>#N/A</v>
      </c>
      <c r="B103" s="576"/>
      <c r="C103" s="576"/>
      <c r="D103" s="576"/>
      <c r="E103" s="576"/>
      <c r="F103" s="576"/>
      <c r="G103" s="576"/>
      <c r="H103" s="576"/>
      <c r="I103" s="576"/>
      <c r="J103" s="101"/>
      <c r="K103" s="89"/>
      <c r="L103" s="97"/>
      <c r="M103" s="97"/>
      <c r="N103" s="97"/>
      <c r="O103" s="97"/>
      <c r="P103" s="97"/>
      <c r="Q103" s="97"/>
      <c r="R103" s="97"/>
      <c r="S103" s="97"/>
      <c r="T103" s="97"/>
      <c r="U103" s="97"/>
      <c r="V103" s="97"/>
      <c r="W103" s="97"/>
      <c r="X103" s="97"/>
      <c r="Y103" s="97"/>
      <c r="Z103" s="97"/>
      <c r="AA103" s="97"/>
      <c r="AB103" s="97"/>
      <c r="AC103" s="97"/>
      <c r="AD103" s="97"/>
      <c r="AE103" s="97"/>
      <c r="AF103" s="97"/>
      <c r="AG103" s="97"/>
      <c r="AH103" s="97"/>
      <c r="AI103" s="97"/>
      <c r="AJ103" s="97"/>
      <c r="AK103" s="97"/>
      <c r="AL103" s="97"/>
      <c r="AM103" s="97"/>
      <c r="AN103" s="97"/>
      <c r="AO103" s="97"/>
      <c r="AP103" s="97"/>
      <c r="AQ103" s="97"/>
      <c r="AR103" s="97"/>
      <c r="AS103" s="97"/>
      <c r="AT103" s="98"/>
      <c r="AU103" s="579"/>
      <c r="AV103" s="580"/>
      <c r="AW103" s="581"/>
    </row>
    <row r="104" spans="1:49" ht="15.75" customHeight="1" thickBot="1" x14ac:dyDescent="0.3">
      <c r="A104" s="570" t="e">
        <f>A99</f>
        <v>#N/A</v>
      </c>
      <c r="B104" s="571"/>
      <c r="C104" s="571"/>
      <c r="D104" s="571"/>
      <c r="E104" s="571"/>
      <c r="F104" s="571"/>
      <c r="G104" s="571"/>
      <c r="H104" s="571"/>
      <c r="I104" s="571"/>
      <c r="J104" s="102"/>
      <c r="K104" s="91"/>
      <c r="L104" s="99"/>
      <c r="M104" s="99"/>
      <c r="N104" s="99"/>
      <c r="O104" s="99"/>
      <c r="P104" s="99"/>
      <c r="Q104" s="99"/>
      <c r="R104" s="99"/>
      <c r="S104" s="99"/>
      <c r="T104" s="99"/>
      <c r="U104" s="99"/>
      <c r="V104" s="99"/>
      <c r="W104" s="99"/>
      <c r="X104" s="99"/>
      <c r="Y104" s="99"/>
      <c r="Z104" s="99"/>
      <c r="AA104" s="99"/>
      <c r="AB104" s="99"/>
      <c r="AC104" s="99"/>
      <c r="AD104" s="99"/>
      <c r="AE104" s="99"/>
      <c r="AF104" s="99"/>
      <c r="AG104" s="99"/>
      <c r="AH104" s="99"/>
      <c r="AI104" s="99"/>
      <c r="AJ104" s="99"/>
      <c r="AK104" s="99"/>
      <c r="AL104" s="99"/>
      <c r="AM104" s="99"/>
      <c r="AN104" s="99"/>
      <c r="AO104" s="99"/>
      <c r="AP104" s="99"/>
      <c r="AQ104" s="99"/>
      <c r="AR104" s="99"/>
      <c r="AS104" s="99"/>
      <c r="AT104" s="100"/>
      <c r="AU104" s="572"/>
      <c r="AV104" s="573"/>
      <c r="AW104" s="574"/>
    </row>
    <row r="105" spans="1:49" ht="15.75" customHeight="1" x14ac:dyDescent="0.25">
      <c r="A105" s="575" t="e">
        <f>A100</f>
        <v>#N/A</v>
      </c>
      <c r="B105" s="576"/>
      <c r="C105" s="576"/>
      <c r="D105" s="576"/>
      <c r="E105" s="576"/>
      <c r="F105" s="576"/>
      <c r="G105" s="576"/>
      <c r="H105" s="576"/>
      <c r="I105" s="576"/>
      <c r="J105" s="101"/>
      <c r="K105" s="89"/>
      <c r="L105" s="97"/>
      <c r="M105" s="97"/>
      <c r="N105" s="97"/>
      <c r="O105" s="97"/>
      <c r="P105" s="97"/>
      <c r="Q105" s="97"/>
      <c r="R105" s="97"/>
      <c r="S105" s="97"/>
      <c r="T105" s="97"/>
      <c r="U105" s="97"/>
      <c r="V105" s="97"/>
      <c r="W105" s="97"/>
      <c r="X105" s="97"/>
      <c r="Y105" s="97"/>
      <c r="Z105" s="97"/>
      <c r="AA105" s="97"/>
      <c r="AB105" s="97"/>
      <c r="AC105" s="97"/>
      <c r="AD105" s="97"/>
      <c r="AE105" s="97"/>
      <c r="AF105" s="97"/>
      <c r="AG105" s="97"/>
      <c r="AH105" s="97"/>
      <c r="AI105" s="97"/>
      <c r="AJ105" s="97"/>
      <c r="AK105" s="97"/>
      <c r="AL105" s="97"/>
      <c r="AM105" s="97"/>
      <c r="AN105" s="97"/>
      <c r="AO105" s="97"/>
      <c r="AP105" s="97"/>
      <c r="AQ105" s="97"/>
      <c r="AR105" s="97"/>
      <c r="AS105" s="97"/>
      <c r="AT105" s="98"/>
      <c r="AU105" s="386"/>
      <c r="AV105" s="577"/>
      <c r="AW105" s="578"/>
    </row>
    <row r="106" spans="1:49" ht="15.75" customHeight="1" thickBot="1" x14ac:dyDescent="0.3">
      <c r="A106" s="570" t="e">
        <f>A101</f>
        <v>#N/A</v>
      </c>
      <c r="B106" s="571"/>
      <c r="C106" s="571"/>
      <c r="D106" s="571"/>
      <c r="E106" s="571"/>
      <c r="F106" s="571"/>
      <c r="G106" s="571"/>
      <c r="H106" s="571"/>
      <c r="I106" s="571"/>
      <c r="J106" s="102"/>
      <c r="K106" s="91"/>
      <c r="L106" s="99"/>
      <c r="M106" s="99"/>
      <c r="N106" s="99"/>
      <c r="O106" s="99"/>
      <c r="P106" s="99"/>
      <c r="Q106" s="99"/>
      <c r="R106" s="99"/>
      <c r="S106" s="99"/>
      <c r="T106" s="99"/>
      <c r="U106" s="99"/>
      <c r="V106" s="99"/>
      <c r="W106" s="99"/>
      <c r="X106" s="99"/>
      <c r="Y106" s="99"/>
      <c r="Z106" s="99"/>
      <c r="AA106" s="99"/>
      <c r="AB106" s="99"/>
      <c r="AC106" s="99"/>
      <c r="AD106" s="99"/>
      <c r="AE106" s="99"/>
      <c r="AF106" s="99"/>
      <c r="AG106" s="99"/>
      <c r="AH106" s="99"/>
      <c r="AI106" s="99"/>
      <c r="AJ106" s="99"/>
      <c r="AK106" s="99"/>
      <c r="AL106" s="99"/>
      <c r="AM106" s="99"/>
      <c r="AN106" s="99"/>
      <c r="AO106" s="99"/>
      <c r="AP106" s="99"/>
      <c r="AQ106" s="99"/>
      <c r="AR106" s="99"/>
      <c r="AS106" s="99"/>
      <c r="AT106" s="100"/>
      <c r="AU106" s="572"/>
      <c r="AV106" s="573"/>
      <c r="AW106" s="574"/>
    </row>
    <row r="107" spans="1:49" ht="4.5" customHeight="1" thickBot="1" x14ac:dyDescent="0.3">
      <c r="A107" s="12"/>
      <c r="B107" s="12"/>
      <c r="C107" s="12"/>
      <c r="D107" s="12"/>
      <c r="E107" s="12"/>
      <c r="F107" s="12"/>
      <c r="G107" s="12"/>
      <c r="H107" s="12"/>
      <c r="I107" s="12"/>
    </row>
    <row r="108" spans="1:49" ht="15.75" customHeight="1" x14ac:dyDescent="0.25">
      <c r="A108" s="575" t="e">
        <f>A103</f>
        <v>#N/A</v>
      </c>
      <c r="B108" s="576"/>
      <c r="C108" s="576"/>
      <c r="D108" s="576"/>
      <c r="E108" s="576"/>
      <c r="F108" s="576"/>
      <c r="G108" s="576"/>
      <c r="H108" s="576"/>
      <c r="I108" s="576"/>
      <c r="J108" s="101"/>
      <c r="K108" s="89"/>
      <c r="L108" s="97"/>
      <c r="M108" s="97"/>
      <c r="N108" s="97"/>
      <c r="O108" s="97"/>
      <c r="P108" s="97"/>
      <c r="Q108" s="97"/>
      <c r="R108" s="97"/>
      <c r="S108" s="97"/>
      <c r="T108" s="97"/>
      <c r="U108" s="97"/>
      <c r="V108" s="97"/>
      <c r="W108" s="97"/>
      <c r="X108" s="97"/>
      <c r="Y108" s="97"/>
      <c r="Z108" s="97"/>
      <c r="AA108" s="97"/>
      <c r="AB108" s="97"/>
      <c r="AC108" s="97"/>
      <c r="AD108" s="97"/>
      <c r="AE108" s="97"/>
      <c r="AF108" s="97"/>
      <c r="AG108" s="97"/>
      <c r="AH108" s="97"/>
      <c r="AI108" s="97"/>
      <c r="AJ108" s="97"/>
      <c r="AK108" s="97"/>
      <c r="AL108" s="97"/>
      <c r="AM108" s="97"/>
      <c r="AN108" s="97"/>
      <c r="AO108" s="97"/>
      <c r="AP108" s="97"/>
      <c r="AQ108" s="97"/>
      <c r="AR108" s="97"/>
      <c r="AS108" s="97"/>
      <c r="AT108" s="98"/>
      <c r="AU108" s="579"/>
      <c r="AV108" s="580"/>
      <c r="AW108" s="581"/>
    </row>
    <row r="109" spans="1:49" ht="15.75" customHeight="1" thickBot="1" x14ac:dyDescent="0.3">
      <c r="A109" s="570" t="e">
        <f>A104</f>
        <v>#N/A</v>
      </c>
      <c r="B109" s="571"/>
      <c r="C109" s="571"/>
      <c r="D109" s="571"/>
      <c r="E109" s="571"/>
      <c r="F109" s="571"/>
      <c r="G109" s="571"/>
      <c r="H109" s="571"/>
      <c r="I109" s="571"/>
      <c r="J109" s="102"/>
      <c r="K109" s="91"/>
      <c r="L109" s="99"/>
      <c r="M109" s="99"/>
      <c r="N109" s="99"/>
      <c r="O109" s="99"/>
      <c r="P109" s="99"/>
      <c r="Q109" s="99"/>
      <c r="R109" s="99"/>
      <c r="S109" s="99"/>
      <c r="T109" s="99"/>
      <c r="U109" s="99"/>
      <c r="V109" s="99"/>
      <c r="W109" s="99"/>
      <c r="X109" s="99"/>
      <c r="Y109" s="99"/>
      <c r="Z109" s="99"/>
      <c r="AA109" s="99"/>
      <c r="AB109" s="99"/>
      <c r="AC109" s="99"/>
      <c r="AD109" s="99"/>
      <c r="AE109" s="99"/>
      <c r="AF109" s="99"/>
      <c r="AG109" s="99"/>
      <c r="AH109" s="99"/>
      <c r="AI109" s="99"/>
      <c r="AJ109" s="99"/>
      <c r="AK109" s="99"/>
      <c r="AL109" s="99"/>
      <c r="AM109" s="99"/>
      <c r="AN109" s="99"/>
      <c r="AO109" s="99"/>
      <c r="AP109" s="99"/>
      <c r="AQ109" s="99"/>
      <c r="AR109" s="99"/>
      <c r="AS109" s="99"/>
      <c r="AT109" s="100"/>
      <c r="AU109" s="572"/>
      <c r="AV109" s="573"/>
      <c r="AW109" s="574"/>
    </row>
    <row r="110" spans="1:49" ht="15.75" customHeight="1" x14ac:dyDescent="0.25">
      <c r="A110" s="575" t="e">
        <f>A105</f>
        <v>#N/A</v>
      </c>
      <c r="B110" s="576"/>
      <c r="C110" s="576"/>
      <c r="D110" s="576"/>
      <c r="E110" s="576"/>
      <c r="F110" s="576"/>
      <c r="G110" s="576"/>
      <c r="H110" s="576"/>
      <c r="I110" s="576"/>
      <c r="J110" s="101"/>
      <c r="K110" s="89"/>
      <c r="L110" s="97"/>
      <c r="M110" s="97"/>
      <c r="N110" s="97"/>
      <c r="O110" s="97"/>
      <c r="P110" s="97"/>
      <c r="Q110" s="97"/>
      <c r="R110" s="97"/>
      <c r="S110" s="97"/>
      <c r="T110" s="97"/>
      <c r="U110" s="97"/>
      <c r="V110" s="97"/>
      <c r="W110" s="97"/>
      <c r="X110" s="97"/>
      <c r="Y110" s="97"/>
      <c r="Z110" s="97"/>
      <c r="AA110" s="97"/>
      <c r="AB110" s="97"/>
      <c r="AC110" s="97"/>
      <c r="AD110" s="97"/>
      <c r="AE110" s="97"/>
      <c r="AF110" s="97"/>
      <c r="AG110" s="97"/>
      <c r="AH110" s="97"/>
      <c r="AI110" s="97"/>
      <c r="AJ110" s="97"/>
      <c r="AK110" s="97"/>
      <c r="AL110" s="97"/>
      <c r="AM110" s="97"/>
      <c r="AN110" s="97"/>
      <c r="AO110" s="97"/>
      <c r="AP110" s="97"/>
      <c r="AQ110" s="97"/>
      <c r="AR110" s="97"/>
      <c r="AS110" s="97"/>
      <c r="AT110" s="98"/>
      <c r="AU110" s="386"/>
      <c r="AV110" s="577"/>
      <c r="AW110" s="578"/>
    </row>
    <row r="111" spans="1:49" ht="15.75" customHeight="1" thickBot="1" x14ac:dyDescent="0.3">
      <c r="A111" s="570" t="e">
        <f>A106</f>
        <v>#N/A</v>
      </c>
      <c r="B111" s="571"/>
      <c r="C111" s="571"/>
      <c r="D111" s="571"/>
      <c r="E111" s="571"/>
      <c r="F111" s="571"/>
      <c r="G111" s="571"/>
      <c r="H111" s="571"/>
      <c r="I111" s="571"/>
      <c r="J111" s="102"/>
      <c r="K111" s="91"/>
      <c r="L111" s="99"/>
      <c r="M111" s="99"/>
      <c r="N111" s="99"/>
      <c r="O111" s="99"/>
      <c r="P111" s="99"/>
      <c r="Q111" s="99"/>
      <c r="R111" s="99"/>
      <c r="S111" s="99"/>
      <c r="T111" s="99"/>
      <c r="U111" s="99"/>
      <c r="V111" s="99"/>
      <c r="W111" s="99"/>
      <c r="X111" s="99"/>
      <c r="Y111" s="99"/>
      <c r="Z111" s="99"/>
      <c r="AA111" s="99"/>
      <c r="AB111" s="99"/>
      <c r="AC111" s="99"/>
      <c r="AD111" s="99"/>
      <c r="AE111" s="99"/>
      <c r="AF111" s="99"/>
      <c r="AG111" s="99"/>
      <c r="AH111" s="99"/>
      <c r="AI111" s="99"/>
      <c r="AJ111" s="99"/>
      <c r="AK111" s="99"/>
      <c r="AL111" s="99"/>
      <c r="AM111" s="99"/>
      <c r="AN111" s="99"/>
      <c r="AO111" s="99"/>
      <c r="AP111" s="99"/>
      <c r="AQ111" s="99"/>
      <c r="AR111" s="99"/>
      <c r="AS111" s="99"/>
      <c r="AT111" s="100"/>
      <c r="AU111" s="572"/>
      <c r="AV111" s="573"/>
      <c r="AW111" s="574"/>
    </row>
    <row r="112" spans="1:49" ht="4.5" customHeight="1" thickBot="1" x14ac:dyDescent="0.3">
      <c r="A112" s="12"/>
      <c r="B112" s="12"/>
      <c r="C112" s="12"/>
      <c r="D112" s="12"/>
      <c r="E112" s="12"/>
      <c r="F112" s="12"/>
      <c r="G112" s="12"/>
      <c r="H112" s="12"/>
      <c r="I112" s="12"/>
    </row>
    <row r="113" spans="1:49" ht="15.75" customHeight="1" x14ac:dyDescent="0.25">
      <c r="A113" s="575" t="e">
        <f>A108</f>
        <v>#N/A</v>
      </c>
      <c r="B113" s="576"/>
      <c r="C113" s="576"/>
      <c r="D113" s="576"/>
      <c r="E113" s="576"/>
      <c r="F113" s="576"/>
      <c r="G113" s="576"/>
      <c r="H113" s="576"/>
      <c r="I113" s="576"/>
      <c r="J113" s="101"/>
      <c r="K113" s="89"/>
      <c r="L113" s="97"/>
      <c r="M113" s="97"/>
      <c r="N113" s="97"/>
      <c r="O113" s="97"/>
      <c r="P113" s="97"/>
      <c r="Q113" s="97"/>
      <c r="R113" s="97"/>
      <c r="S113" s="97"/>
      <c r="T113" s="97"/>
      <c r="U113" s="97"/>
      <c r="V113" s="97"/>
      <c r="W113" s="97"/>
      <c r="X113" s="97"/>
      <c r="Y113" s="97"/>
      <c r="Z113" s="97"/>
      <c r="AA113" s="97"/>
      <c r="AB113" s="97"/>
      <c r="AC113" s="97"/>
      <c r="AD113" s="97"/>
      <c r="AE113" s="97"/>
      <c r="AF113" s="97"/>
      <c r="AG113" s="97"/>
      <c r="AH113" s="97"/>
      <c r="AI113" s="97"/>
      <c r="AJ113" s="97"/>
      <c r="AK113" s="97"/>
      <c r="AL113" s="97"/>
      <c r="AM113" s="97"/>
      <c r="AN113" s="97"/>
      <c r="AO113" s="97"/>
      <c r="AP113" s="97"/>
      <c r="AQ113" s="97"/>
      <c r="AR113" s="97"/>
      <c r="AS113" s="97"/>
      <c r="AT113" s="98"/>
      <c r="AU113" s="579"/>
      <c r="AV113" s="580"/>
      <c r="AW113" s="581"/>
    </row>
    <row r="114" spans="1:49" ht="15.75" customHeight="1" thickBot="1" x14ac:dyDescent="0.3">
      <c r="A114" s="570" t="e">
        <f>A109</f>
        <v>#N/A</v>
      </c>
      <c r="B114" s="571"/>
      <c r="C114" s="571"/>
      <c r="D114" s="571"/>
      <c r="E114" s="571"/>
      <c r="F114" s="571"/>
      <c r="G114" s="571"/>
      <c r="H114" s="571"/>
      <c r="I114" s="571"/>
      <c r="J114" s="102"/>
      <c r="K114" s="91"/>
      <c r="L114" s="99"/>
      <c r="M114" s="99"/>
      <c r="N114" s="99"/>
      <c r="O114" s="99"/>
      <c r="P114" s="99"/>
      <c r="Q114" s="99"/>
      <c r="R114" s="99"/>
      <c r="S114" s="99"/>
      <c r="T114" s="99"/>
      <c r="U114" s="99"/>
      <c r="V114" s="99"/>
      <c r="W114" s="99"/>
      <c r="X114" s="99"/>
      <c r="Y114" s="99"/>
      <c r="Z114" s="99"/>
      <c r="AA114" s="99"/>
      <c r="AB114" s="99"/>
      <c r="AC114" s="99"/>
      <c r="AD114" s="99"/>
      <c r="AE114" s="99"/>
      <c r="AF114" s="99"/>
      <c r="AG114" s="99"/>
      <c r="AH114" s="99"/>
      <c r="AI114" s="99"/>
      <c r="AJ114" s="99"/>
      <c r="AK114" s="99"/>
      <c r="AL114" s="99"/>
      <c r="AM114" s="99"/>
      <c r="AN114" s="99"/>
      <c r="AO114" s="99"/>
      <c r="AP114" s="99"/>
      <c r="AQ114" s="99"/>
      <c r="AR114" s="99"/>
      <c r="AS114" s="99"/>
      <c r="AT114" s="100"/>
      <c r="AU114" s="572"/>
      <c r="AV114" s="573"/>
      <c r="AW114" s="574"/>
    </row>
    <row r="115" spans="1:49" ht="15.75" customHeight="1" x14ac:dyDescent="0.25">
      <c r="A115" s="575" t="e">
        <f>A110</f>
        <v>#N/A</v>
      </c>
      <c r="B115" s="576"/>
      <c r="C115" s="576"/>
      <c r="D115" s="576"/>
      <c r="E115" s="576"/>
      <c r="F115" s="576"/>
      <c r="G115" s="576"/>
      <c r="H115" s="576"/>
      <c r="I115" s="576"/>
      <c r="J115" s="101"/>
      <c r="K115" s="89"/>
      <c r="L115" s="97"/>
      <c r="M115" s="97"/>
      <c r="N115" s="97"/>
      <c r="O115" s="97"/>
      <c r="P115" s="97"/>
      <c r="Q115" s="97"/>
      <c r="R115" s="97"/>
      <c r="S115" s="97"/>
      <c r="T115" s="97"/>
      <c r="U115" s="97"/>
      <c r="V115" s="97"/>
      <c r="W115" s="97"/>
      <c r="X115" s="97"/>
      <c r="Y115" s="97"/>
      <c r="Z115" s="97"/>
      <c r="AA115" s="97"/>
      <c r="AB115" s="97"/>
      <c r="AC115" s="97"/>
      <c r="AD115" s="97"/>
      <c r="AE115" s="97"/>
      <c r="AF115" s="97"/>
      <c r="AG115" s="97"/>
      <c r="AH115" s="97"/>
      <c r="AI115" s="97"/>
      <c r="AJ115" s="97"/>
      <c r="AK115" s="97"/>
      <c r="AL115" s="97"/>
      <c r="AM115" s="97"/>
      <c r="AN115" s="97"/>
      <c r="AO115" s="97"/>
      <c r="AP115" s="97"/>
      <c r="AQ115" s="97"/>
      <c r="AR115" s="97"/>
      <c r="AS115" s="97"/>
      <c r="AT115" s="98"/>
      <c r="AU115" s="386"/>
      <c r="AV115" s="577"/>
      <c r="AW115" s="578"/>
    </row>
    <row r="116" spans="1:49" ht="15.75" customHeight="1" thickBot="1" x14ac:dyDescent="0.3">
      <c r="A116" s="570" t="e">
        <f>A111</f>
        <v>#N/A</v>
      </c>
      <c r="B116" s="571"/>
      <c r="C116" s="571"/>
      <c r="D116" s="571"/>
      <c r="E116" s="571"/>
      <c r="F116" s="571"/>
      <c r="G116" s="571"/>
      <c r="H116" s="571"/>
      <c r="I116" s="571"/>
      <c r="J116" s="102"/>
      <c r="K116" s="91"/>
      <c r="L116" s="99"/>
      <c r="M116" s="99"/>
      <c r="N116" s="99"/>
      <c r="O116" s="99"/>
      <c r="P116" s="99"/>
      <c r="Q116" s="99"/>
      <c r="R116" s="99"/>
      <c r="S116" s="99"/>
      <c r="T116" s="99"/>
      <c r="U116" s="99"/>
      <c r="V116" s="99"/>
      <c r="W116" s="99"/>
      <c r="X116" s="99"/>
      <c r="Y116" s="99"/>
      <c r="Z116" s="99"/>
      <c r="AA116" s="99"/>
      <c r="AB116" s="99"/>
      <c r="AC116" s="99"/>
      <c r="AD116" s="99"/>
      <c r="AE116" s="99"/>
      <c r="AF116" s="99"/>
      <c r="AG116" s="99"/>
      <c r="AH116" s="99"/>
      <c r="AI116" s="99"/>
      <c r="AJ116" s="99"/>
      <c r="AK116" s="99"/>
      <c r="AL116" s="99"/>
      <c r="AM116" s="99"/>
      <c r="AN116" s="99"/>
      <c r="AO116" s="99"/>
      <c r="AP116" s="99"/>
      <c r="AQ116" s="99"/>
      <c r="AR116" s="99"/>
      <c r="AS116" s="99"/>
      <c r="AT116" s="100"/>
      <c r="AU116" s="572"/>
      <c r="AV116" s="573"/>
      <c r="AW116" s="574"/>
    </row>
    <row r="117" spans="1:49" ht="4.5" customHeight="1" x14ac:dyDescent="0.25"/>
    <row r="120" spans="1:49" x14ac:dyDescent="0.25">
      <c r="M120" t="s">
        <v>340</v>
      </c>
      <c r="R120" s="103"/>
      <c r="S120" s="103"/>
      <c r="T120" s="103"/>
      <c r="U120" s="103"/>
      <c r="V120" s="103"/>
      <c r="W120" s="103"/>
      <c r="X120" s="103"/>
      <c r="Y120" s="103"/>
      <c r="Z120" s="103"/>
      <c r="AA120" s="103"/>
      <c r="AB120" s="103"/>
      <c r="AC120" s="103"/>
      <c r="AD120" s="103"/>
      <c r="AF120" t="s">
        <v>284</v>
      </c>
      <c r="AK120" s="103"/>
      <c r="AL120" s="103"/>
      <c r="AM120" s="103"/>
      <c r="AN120" s="103"/>
      <c r="AO120" s="103"/>
      <c r="AP120" s="103"/>
      <c r="AQ120" s="103"/>
      <c r="AR120" s="103"/>
      <c r="AS120" s="103"/>
      <c r="AT120" s="103"/>
      <c r="AU120" s="103"/>
      <c r="AV120" s="103"/>
      <c r="AW120" s="103"/>
    </row>
    <row r="121" spans="1:49" x14ac:dyDescent="0.25">
      <c r="A121" s="591" t="s">
        <v>208</v>
      </c>
      <c r="B121" s="591"/>
      <c r="C121" s="591"/>
      <c r="D121" s="591"/>
      <c r="E121" s="591"/>
      <c r="F121" s="591"/>
      <c r="G121" s="591"/>
      <c r="H121" s="591"/>
      <c r="I121" s="591"/>
      <c r="J121" s="591"/>
      <c r="K121" s="591"/>
      <c r="L121" s="591"/>
      <c r="M121" s="591"/>
      <c r="N121" s="591"/>
      <c r="O121" s="591"/>
      <c r="P121" s="591"/>
      <c r="Q121" s="591"/>
      <c r="R121" s="591"/>
      <c r="S121" s="591"/>
      <c r="T121" s="591"/>
      <c r="U121" s="591"/>
      <c r="V121" s="591"/>
      <c r="W121" s="591"/>
      <c r="X121" s="591"/>
      <c r="Y121" s="591"/>
      <c r="Z121" s="591"/>
      <c r="AA121" s="591"/>
      <c r="AB121" s="591"/>
      <c r="AC121" s="591"/>
      <c r="AD121" s="591"/>
      <c r="AE121" s="591"/>
      <c r="AF121" s="591"/>
      <c r="AG121" s="591"/>
      <c r="AH121" s="591"/>
      <c r="AI121" s="591"/>
      <c r="AJ121" s="591"/>
      <c r="AK121" s="591"/>
      <c r="AL121" s="591"/>
      <c r="AM121" s="591"/>
      <c r="AN121" s="591"/>
      <c r="AO121" s="591"/>
      <c r="AP121" s="591"/>
      <c r="AQ121" s="591"/>
      <c r="AR121" s="591"/>
      <c r="AS121" s="591"/>
      <c r="AT121" s="591"/>
      <c r="AU121" s="591"/>
      <c r="AV121" s="591"/>
      <c r="AW121" s="591"/>
    </row>
    <row r="122" spans="1:49" x14ac:dyDescent="0.25">
      <c r="A122" s="591"/>
      <c r="B122" s="591"/>
      <c r="C122" s="591"/>
      <c r="D122" s="591"/>
      <c r="E122" s="591"/>
      <c r="F122" s="591"/>
      <c r="G122" s="591"/>
      <c r="H122" s="591"/>
      <c r="I122" s="591"/>
      <c r="J122" s="591"/>
      <c r="K122" s="591"/>
      <c r="L122" s="591"/>
      <c r="M122" s="591"/>
      <c r="N122" s="591"/>
      <c r="O122" s="591"/>
      <c r="P122" s="591"/>
      <c r="Q122" s="591"/>
      <c r="R122" s="591"/>
      <c r="S122" s="591"/>
      <c r="T122" s="591"/>
      <c r="U122" s="591"/>
      <c r="V122" s="591"/>
      <c r="W122" s="591"/>
      <c r="X122" s="591"/>
      <c r="Y122" s="591"/>
      <c r="Z122" s="591"/>
      <c r="AA122" s="591"/>
      <c r="AB122" s="591"/>
      <c r="AC122" s="591"/>
      <c r="AD122" s="591"/>
      <c r="AE122" s="591"/>
      <c r="AF122" s="591"/>
      <c r="AG122" s="591"/>
      <c r="AH122" s="591"/>
      <c r="AI122" s="591"/>
      <c r="AJ122" s="591"/>
      <c r="AK122" s="591"/>
      <c r="AL122" s="591"/>
      <c r="AM122" s="591"/>
      <c r="AN122" s="591"/>
      <c r="AO122" s="591"/>
      <c r="AP122" s="591"/>
      <c r="AQ122" s="591"/>
      <c r="AR122" s="591"/>
      <c r="AS122" s="591"/>
      <c r="AT122" s="591"/>
      <c r="AU122" s="591"/>
      <c r="AV122" s="591"/>
      <c r="AW122" s="591"/>
    </row>
    <row r="123" spans="1:49" ht="15.75" thickBot="1" x14ac:dyDescent="0.3">
      <c r="B123" t="s">
        <v>331</v>
      </c>
      <c r="E123" s="583" t="str">
        <f>Spielbericht!D17</f>
        <v>1. HE</v>
      </c>
      <c r="F123" s="583"/>
      <c r="G123" s="583"/>
      <c r="H123" s="583"/>
      <c r="I123" s="208">
        <f>Spielbericht!A17</f>
        <v>0</v>
      </c>
      <c r="J123" s="208"/>
      <c r="K123" s="208"/>
      <c r="L123" s="592" t="s">
        <v>334</v>
      </c>
      <c r="M123" s="592"/>
      <c r="N123" s="592"/>
      <c r="O123" s="592"/>
      <c r="P123" s="592"/>
      <c r="Q123" s="592"/>
      <c r="R123" s="592"/>
      <c r="S123" s="592"/>
      <c r="T123" s="592"/>
      <c r="U123" s="592"/>
      <c r="V123" s="592"/>
      <c r="W123" s="592"/>
      <c r="X123" s="592"/>
      <c r="Y123" s="592"/>
      <c r="Z123" s="592"/>
      <c r="AA123" s="592"/>
      <c r="AB123" s="592"/>
      <c r="AC123" s="592"/>
      <c r="AD123" s="592"/>
      <c r="AE123" s="592"/>
      <c r="AF123" s="592"/>
      <c r="AG123" s="592"/>
      <c r="AH123" s="592"/>
      <c r="AI123" s="592"/>
      <c r="AJ123" s="592"/>
      <c r="AK123" s="592"/>
      <c r="AL123" s="592"/>
    </row>
    <row r="124" spans="1:49" ht="15.75" thickBot="1" x14ac:dyDescent="0.3">
      <c r="B124" t="s">
        <v>336</v>
      </c>
      <c r="E124" s="583">
        <f ca="1">E86</f>
        <v>42418</v>
      </c>
      <c r="F124" s="208"/>
      <c r="G124" s="208"/>
      <c r="H124" s="208"/>
      <c r="I124" s="208"/>
      <c r="J124" s="208"/>
      <c r="K124" s="208"/>
      <c r="L124" s="94"/>
      <c r="M124" s="584" t="e">
        <f>Spielbericht!K17</f>
        <v>#N/A</v>
      </c>
      <c r="N124" s="585"/>
      <c r="O124" s="585"/>
      <c r="P124" s="585"/>
      <c r="Q124" s="585"/>
      <c r="R124" s="585"/>
      <c r="S124" s="585"/>
      <c r="T124" s="585"/>
      <c r="U124" s="586"/>
      <c r="V124" s="95" t="s">
        <v>337</v>
      </c>
      <c r="W124" s="580" t="str">
        <f>IF(Spielbericht!BN17="","",Spielbericht!BN17)</f>
        <v/>
      </c>
      <c r="X124" s="580"/>
      <c r="Y124" s="111" t="s">
        <v>301</v>
      </c>
      <c r="Z124" s="580" t="str">
        <f>IF(Spielbericht!BQ17="","",Spielbericht!BQ17)</f>
        <v/>
      </c>
      <c r="AA124" s="581"/>
      <c r="AB124" s="584" t="e">
        <f>Spielbericht!AN17</f>
        <v>#N/A</v>
      </c>
      <c r="AC124" s="585"/>
      <c r="AD124" s="585"/>
      <c r="AE124" s="585"/>
      <c r="AF124" s="585"/>
      <c r="AG124" s="585"/>
      <c r="AH124" s="585"/>
      <c r="AI124" s="585"/>
      <c r="AJ124" s="586"/>
      <c r="AK124" s="93"/>
      <c r="AM124" s="58" t="s">
        <v>29</v>
      </c>
      <c r="AQ124" s="4"/>
      <c r="AR124" s="4"/>
      <c r="AS124" s="4"/>
      <c r="AT124" s="4"/>
      <c r="AU124" s="4"/>
      <c r="AV124" s="4"/>
      <c r="AW124" s="4"/>
    </row>
    <row r="125" spans="1:49" ht="15.75" thickBot="1" x14ac:dyDescent="0.3">
      <c r="B125" t="s">
        <v>335</v>
      </c>
      <c r="E125" s="382"/>
      <c r="F125" s="382"/>
      <c r="G125" s="382"/>
      <c r="H125" s="382"/>
      <c r="I125" s="382"/>
      <c r="J125" s="382"/>
      <c r="K125" s="382"/>
      <c r="M125" s="587"/>
      <c r="N125" s="588"/>
      <c r="O125" s="588"/>
      <c r="P125" s="588"/>
      <c r="Q125" s="588"/>
      <c r="R125" s="588"/>
      <c r="S125" s="588"/>
      <c r="T125" s="588"/>
      <c r="U125" s="589"/>
      <c r="V125" s="96" t="s">
        <v>338</v>
      </c>
      <c r="W125" s="182" t="str">
        <f>IF(Spielbericht!BT17="","",Spielbericht!BT17)</f>
        <v/>
      </c>
      <c r="X125" s="182"/>
      <c r="Y125" s="109" t="s">
        <v>301</v>
      </c>
      <c r="Z125" s="182" t="str">
        <f>IF(Spielbericht!BW17="","",Spielbericht!BW17)</f>
        <v/>
      </c>
      <c r="AA125" s="590"/>
      <c r="AB125" s="587"/>
      <c r="AC125" s="588"/>
      <c r="AD125" s="588"/>
      <c r="AE125" s="588"/>
      <c r="AF125" s="588"/>
      <c r="AG125" s="588"/>
      <c r="AH125" s="588"/>
      <c r="AI125" s="588"/>
      <c r="AJ125" s="589"/>
    </row>
    <row r="126" spans="1:49" ht="15.75" thickBot="1" x14ac:dyDescent="0.3">
      <c r="B126" t="s">
        <v>33</v>
      </c>
      <c r="E126" s="582">
        <f ca="1">TODAY()</f>
        <v>42418</v>
      </c>
      <c r="F126" s="582"/>
      <c r="G126" s="582"/>
      <c r="H126" s="582"/>
      <c r="I126" s="582"/>
      <c r="J126" s="582"/>
      <c r="K126" s="582"/>
      <c r="M126" s="425">
        <f>M86</f>
        <v>0</v>
      </c>
      <c r="N126" s="426"/>
      <c r="O126" s="426"/>
      <c r="P126" s="426"/>
      <c r="Q126" s="426"/>
      <c r="R126" s="426"/>
      <c r="S126" s="426"/>
      <c r="T126" s="426"/>
      <c r="U126" s="427"/>
      <c r="V126" s="91" t="s">
        <v>339</v>
      </c>
      <c r="W126" s="573" t="str">
        <f>IF(Spielbericht!BZ17="","",Spielbericht!BZ17)</f>
        <v/>
      </c>
      <c r="X126" s="573"/>
      <c r="Y126" s="110" t="s">
        <v>301</v>
      </c>
      <c r="Z126" s="573" t="str">
        <f>IF(Spielbericht!CC17="","",Spielbericht!CC17)</f>
        <v/>
      </c>
      <c r="AA126" s="574"/>
      <c r="AB126" s="425">
        <f>AB86</f>
        <v>0</v>
      </c>
      <c r="AC126" s="426"/>
      <c r="AD126" s="426"/>
      <c r="AE126" s="426"/>
      <c r="AF126" s="426"/>
      <c r="AG126" s="426"/>
      <c r="AH126" s="426"/>
      <c r="AI126" s="426"/>
      <c r="AJ126" s="427"/>
      <c r="AK126" s="5"/>
      <c r="AL126" s="5"/>
      <c r="AM126" s="58" t="s">
        <v>332</v>
      </c>
      <c r="AN126" s="5"/>
      <c r="AO126" s="4"/>
      <c r="AP126" s="4"/>
      <c r="AQ126" s="4"/>
      <c r="AR126" s="4"/>
      <c r="AS126" s="58" t="s">
        <v>333</v>
      </c>
      <c r="AU126" s="4"/>
      <c r="AV126" s="4"/>
      <c r="AW126" s="4"/>
    </row>
    <row r="127" spans="1:49" ht="15" customHeight="1" thickBot="1" x14ac:dyDescent="0.3">
      <c r="A127" s="208"/>
      <c r="B127" s="208"/>
      <c r="C127" s="208"/>
      <c r="D127" s="208"/>
      <c r="E127" s="208"/>
      <c r="F127" s="208"/>
      <c r="G127" s="208"/>
      <c r="H127" s="208"/>
      <c r="I127" s="208"/>
      <c r="J127" s="208"/>
      <c r="K127" s="208"/>
      <c r="L127" s="208"/>
      <c r="M127" s="208"/>
      <c r="N127" s="208"/>
      <c r="O127" s="208"/>
      <c r="P127" s="208"/>
      <c r="Q127" s="208"/>
      <c r="R127" s="208"/>
      <c r="S127" s="208"/>
      <c r="T127" s="208"/>
      <c r="U127" s="208"/>
      <c r="V127" s="208"/>
      <c r="W127" s="208"/>
      <c r="X127" s="208"/>
      <c r="Z127" s="208"/>
      <c r="AA127" s="208"/>
      <c r="AB127" s="208"/>
      <c r="AC127" s="208"/>
      <c r="AD127" s="208"/>
      <c r="AE127" s="208"/>
      <c r="AF127" s="208"/>
      <c r="AG127" s="208"/>
      <c r="AH127" s="208"/>
      <c r="AI127" s="208"/>
      <c r="AJ127" s="208"/>
      <c r="AK127" s="208"/>
      <c r="AL127" s="208"/>
      <c r="AM127" s="208"/>
      <c r="AN127" s="208"/>
      <c r="AO127" s="208"/>
      <c r="AP127" s="208"/>
      <c r="AQ127" s="208"/>
      <c r="AR127" s="208"/>
      <c r="AS127" s="208"/>
      <c r="AT127" s="208"/>
      <c r="AU127" s="208"/>
      <c r="AV127" s="208"/>
      <c r="AW127" s="208"/>
    </row>
    <row r="128" spans="1:49" ht="15.75" customHeight="1" x14ac:dyDescent="0.25">
      <c r="A128" s="575" t="e">
        <f>M124</f>
        <v>#N/A</v>
      </c>
      <c r="B128" s="576"/>
      <c r="C128" s="576"/>
      <c r="D128" s="576"/>
      <c r="E128" s="576"/>
      <c r="F128" s="576"/>
      <c r="G128" s="576"/>
      <c r="H128" s="576"/>
      <c r="I128" s="576"/>
      <c r="J128" s="101"/>
      <c r="K128" s="89"/>
      <c r="L128" s="97"/>
      <c r="M128" s="97"/>
      <c r="N128" s="97"/>
      <c r="O128" s="97"/>
      <c r="P128" s="97"/>
      <c r="Q128" s="97"/>
      <c r="R128" s="97"/>
      <c r="S128" s="97"/>
      <c r="T128" s="97"/>
      <c r="U128" s="97"/>
      <c r="V128" s="97"/>
      <c r="W128" s="97"/>
      <c r="X128" s="97"/>
      <c r="Y128" s="97"/>
      <c r="Z128" s="97"/>
      <c r="AA128" s="97"/>
      <c r="AB128" s="97"/>
      <c r="AC128" s="97"/>
      <c r="AD128" s="97"/>
      <c r="AE128" s="97"/>
      <c r="AF128" s="97"/>
      <c r="AG128" s="97"/>
      <c r="AH128" s="97"/>
      <c r="AI128" s="97"/>
      <c r="AJ128" s="97"/>
      <c r="AK128" s="97"/>
      <c r="AL128" s="97"/>
      <c r="AM128" s="97"/>
      <c r="AN128" s="97"/>
      <c r="AO128" s="97"/>
      <c r="AP128" s="97"/>
      <c r="AQ128" s="97"/>
      <c r="AR128" s="97"/>
      <c r="AS128" s="97"/>
      <c r="AT128" s="98"/>
      <c r="AU128" s="579"/>
      <c r="AV128" s="580"/>
      <c r="AW128" s="581"/>
    </row>
    <row r="129" spans="1:49" ht="15.75" customHeight="1" thickBot="1" x14ac:dyDescent="0.3">
      <c r="A129" s="570"/>
      <c r="B129" s="571"/>
      <c r="C129" s="571"/>
      <c r="D129" s="571"/>
      <c r="E129" s="571"/>
      <c r="F129" s="571"/>
      <c r="G129" s="571"/>
      <c r="H129" s="571"/>
      <c r="I129" s="571"/>
      <c r="J129" s="102"/>
      <c r="K129" s="91"/>
      <c r="L129" s="99"/>
      <c r="M129" s="99"/>
      <c r="N129" s="99"/>
      <c r="O129" s="99"/>
      <c r="P129" s="99"/>
      <c r="Q129" s="99"/>
      <c r="R129" s="99"/>
      <c r="S129" s="99"/>
      <c r="T129" s="99"/>
      <c r="U129" s="99"/>
      <c r="V129" s="99"/>
      <c r="W129" s="99"/>
      <c r="X129" s="99"/>
      <c r="Y129" s="99"/>
      <c r="Z129" s="99"/>
      <c r="AA129" s="99"/>
      <c r="AB129" s="99"/>
      <c r="AC129" s="99"/>
      <c r="AD129" s="99"/>
      <c r="AE129" s="99"/>
      <c r="AF129" s="99"/>
      <c r="AG129" s="99"/>
      <c r="AH129" s="99"/>
      <c r="AI129" s="99"/>
      <c r="AJ129" s="99"/>
      <c r="AK129" s="99"/>
      <c r="AL129" s="99"/>
      <c r="AM129" s="99"/>
      <c r="AN129" s="99"/>
      <c r="AO129" s="99"/>
      <c r="AP129" s="99"/>
      <c r="AQ129" s="99"/>
      <c r="AR129" s="99"/>
      <c r="AS129" s="99"/>
      <c r="AT129" s="100"/>
      <c r="AU129" s="572"/>
      <c r="AV129" s="573"/>
      <c r="AW129" s="574"/>
    </row>
    <row r="130" spans="1:49" ht="15.75" customHeight="1" x14ac:dyDescent="0.25">
      <c r="A130" s="575" t="e">
        <f>AB124</f>
        <v>#N/A</v>
      </c>
      <c r="B130" s="576"/>
      <c r="C130" s="576"/>
      <c r="D130" s="576"/>
      <c r="E130" s="576"/>
      <c r="F130" s="576"/>
      <c r="G130" s="576"/>
      <c r="H130" s="576"/>
      <c r="I130" s="576"/>
      <c r="J130" s="101"/>
      <c r="K130" s="89"/>
      <c r="L130" s="97"/>
      <c r="M130" s="97"/>
      <c r="N130" s="97"/>
      <c r="O130" s="97"/>
      <c r="P130" s="97"/>
      <c r="Q130" s="97"/>
      <c r="R130" s="97"/>
      <c r="S130" s="97"/>
      <c r="T130" s="97"/>
      <c r="U130" s="97"/>
      <c r="V130" s="97"/>
      <c r="W130" s="97"/>
      <c r="X130" s="97"/>
      <c r="Y130" s="97"/>
      <c r="Z130" s="97"/>
      <c r="AA130" s="97"/>
      <c r="AB130" s="97"/>
      <c r="AC130" s="97"/>
      <c r="AD130" s="97"/>
      <c r="AE130" s="97"/>
      <c r="AF130" s="97"/>
      <c r="AG130" s="97"/>
      <c r="AH130" s="97"/>
      <c r="AI130" s="97"/>
      <c r="AJ130" s="97"/>
      <c r="AK130" s="97"/>
      <c r="AL130" s="97"/>
      <c r="AM130" s="97"/>
      <c r="AN130" s="97"/>
      <c r="AO130" s="97"/>
      <c r="AP130" s="97"/>
      <c r="AQ130" s="97"/>
      <c r="AR130" s="97"/>
      <c r="AS130" s="97"/>
      <c r="AT130" s="98"/>
      <c r="AU130" s="386"/>
      <c r="AV130" s="577"/>
      <c r="AW130" s="578"/>
    </row>
    <row r="131" spans="1:49" ht="15.75" customHeight="1" thickBot="1" x14ac:dyDescent="0.3">
      <c r="A131" s="570"/>
      <c r="B131" s="571"/>
      <c r="C131" s="571"/>
      <c r="D131" s="571"/>
      <c r="E131" s="571"/>
      <c r="F131" s="571"/>
      <c r="G131" s="571"/>
      <c r="H131" s="571"/>
      <c r="I131" s="571"/>
      <c r="J131" s="102"/>
      <c r="K131" s="91"/>
      <c r="L131" s="99"/>
      <c r="M131" s="99"/>
      <c r="N131" s="99"/>
      <c r="O131" s="99"/>
      <c r="P131" s="99"/>
      <c r="Q131" s="99"/>
      <c r="R131" s="99"/>
      <c r="S131" s="99"/>
      <c r="T131" s="99"/>
      <c r="U131" s="99"/>
      <c r="V131" s="99"/>
      <c r="W131" s="99"/>
      <c r="X131" s="99"/>
      <c r="Y131" s="99"/>
      <c r="Z131" s="99"/>
      <c r="AA131" s="99"/>
      <c r="AB131" s="99"/>
      <c r="AC131" s="99"/>
      <c r="AD131" s="99"/>
      <c r="AE131" s="99"/>
      <c r="AF131" s="99"/>
      <c r="AG131" s="99"/>
      <c r="AH131" s="99"/>
      <c r="AI131" s="99"/>
      <c r="AJ131" s="99"/>
      <c r="AK131" s="99"/>
      <c r="AL131" s="99"/>
      <c r="AM131" s="99"/>
      <c r="AN131" s="99"/>
      <c r="AO131" s="99"/>
      <c r="AP131" s="99"/>
      <c r="AQ131" s="99"/>
      <c r="AR131" s="99"/>
      <c r="AS131" s="99"/>
      <c r="AT131" s="100"/>
      <c r="AU131" s="572"/>
      <c r="AV131" s="573"/>
      <c r="AW131" s="574"/>
    </row>
    <row r="132" spans="1:49" ht="4.5" customHeight="1" thickBot="1" x14ac:dyDescent="0.3">
      <c r="A132" s="12"/>
      <c r="B132" s="12"/>
      <c r="C132" s="12"/>
      <c r="D132" s="12"/>
      <c r="E132" s="12"/>
      <c r="F132" s="12"/>
      <c r="G132" s="12"/>
      <c r="H132" s="12"/>
      <c r="I132" s="12"/>
      <c r="K132" s="5"/>
      <c r="L132" s="5"/>
    </row>
    <row r="133" spans="1:49" ht="15.75" customHeight="1" x14ac:dyDescent="0.25">
      <c r="A133" s="575" t="e">
        <f>A128</f>
        <v>#N/A</v>
      </c>
      <c r="B133" s="576"/>
      <c r="C133" s="576"/>
      <c r="D133" s="576"/>
      <c r="E133" s="576"/>
      <c r="F133" s="576"/>
      <c r="G133" s="576"/>
      <c r="H133" s="576"/>
      <c r="I133" s="576"/>
      <c r="J133" s="101"/>
      <c r="K133" s="89"/>
      <c r="L133" s="97"/>
      <c r="M133" s="97"/>
      <c r="N133" s="97"/>
      <c r="O133" s="97"/>
      <c r="P133" s="97"/>
      <c r="Q133" s="97"/>
      <c r="R133" s="97"/>
      <c r="S133" s="97"/>
      <c r="T133" s="97"/>
      <c r="U133" s="97"/>
      <c r="V133" s="97"/>
      <c r="W133" s="97"/>
      <c r="X133" s="97"/>
      <c r="Y133" s="97"/>
      <c r="Z133" s="97"/>
      <c r="AA133" s="97"/>
      <c r="AB133" s="97"/>
      <c r="AC133" s="97"/>
      <c r="AD133" s="97"/>
      <c r="AE133" s="97"/>
      <c r="AF133" s="97"/>
      <c r="AG133" s="97"/>
      <c r="AH133" s="97"/>
      <c r="AI133" s="97"/>
      <c r="AJ133" s="97"/>
      <c r="AK133" s="97"/>
      <c r="AL133" s="97"/>
      <c r="AM133" s="97"/>
      <c r="AN133" s="97"/>
      <c r="AO133" s="97"/>
      <c r="AP133" s="97"/>
      <c r="AQ133" s="97"/>
      <c r="AR133" s="97"/>
      <c r="AS133" s="97"/>
      <c r="AT133" s="98"/>
      <c r="AU133" s="579"/>
      <c r="AV133" s="580"/>
      <c r="AW133" s="581"/>
    </row>
    <row r="134" spans="1:49" ht="15.75" customHeight="1" thickBot="1" x14ac:dyDescent="0.3">
      <c r="A134" s="570"/>
      <c r="B134" s="571"/>
      <c r="C134" s="571"/>
      <c r="D134" s="571"/>
      <c r="E134" s="571"/>
      <c r="F134" s="571"/>
      <c r="G134" s="571"/>
      <c r="H134" s="571"/>
      <c r="I134" s="571"/>
      <c r="J134" s="102"/>
      <c r="K134" s="91"/>
      <c r="L134" s="99"/>
      <c r="M134" s="99"/>
      <c r="N134" s="99"/>
      <c r="O134" s="99"/>
      <c r="P134" s="99"/>
      <c r="Q134" s="99"/>
      <c r="R134" s="99"/>
      <c r="S134" s="99"/>
      <c r="T134" s="99"/>
      <c r="U134" s="99"/>
      <c r="V134" s="99"/>
      <c r="W134" s="99"/>
      <c r="X134" s="99"/>
      <c r="Y134" s="99"/>
      <c r="Z134" s="99"/>
      <c r="AA134" s="99"/>
      <c r="AB134" s="99"/>
      <c r="AC134" s="99"/>
      <c r="AD134" s="99"/>
      <c r="AE134" s="99"/>
      <c r="AF134" s="99"/>
      <c r="AG134" s="99"/>
      <c r="AH134" s="99"/>
      <c r="AI134" s="99"/>
      <c r="AJ134" s="99"/>
      <c r="AK134" s="99"/>
      <c r="AL134" s="99"/>
      <c r="AM134" s="99"/>
      <c r="AN134" s="99"/>
      <c r="AO134" s="99"/>
      <c r="AP134" s="99"/>
      <c r="AQ134" s="99"/>
      <c r="AR134" s="99"/>
      <c r="AS134" s="99"/>
      <c r="AT134" s="100"/>
      <c r="AU134" s="572"/>
      <c r="AV134" s="573"/>
      <c r="AW134" s="574"/>
    </row>
    <row r="135" spans="1:49" ht="15.75" customHeight="1" x14ac:dyDescent="0.25">
      <c r="A135" s="575" t="e">
        <f>A130</f>
        <v>#N/A</v>
      </c>
      <c r="B135" s="576"/>
      <c r="C135" s="576"/>
      <c r="D135" s="576"/>
      <c r="E135" s="576"/>
      <c r="F135" s="576"/>
      <c r="G135" s="576"/>
      <c r="H135" s="576"/>
      <c r="I135" s="576"/>
      <c r="J135" s="101"/>
      <c r="K135" s="89"/>
      <c r="L135" s="97"/>
      <c r="M135" s="97"/>
      <c r="N135" s="97"/>
      <c r="O135" s="97"/>
      <c r="P135" s="97"/>
      <c r="Q135" s="97"/>
      <c r="R135" s="97"/>
      <c r="S135" s="97"/>
      <c r="T135" s="97"/>
      <c r="U135" s="97"/>
      <c r="V135" s="97"/>
      <c r="W135" s="97"/>
      <c r="X135" s="97"/>
      <c r="Y135" s="97"/>
      <c r="Z135" s="97"/>
      <c r="AA135" s="97"/>
      <c r="AB135" s="97"/>
      <c r="AC135" s="97"/>
      <c r="AD135" s="97"/>
      <c r="AE135" s="97"/>
      <c r="AF135" s="97"/>
      <c r="AG135" s="97"/>
      <c r="AH135" s="97"/>
      <c r="AI135" s="97"/>
      <c r="AJ135" s="97"/>
      <c r="AK135" s="97"/>
      <c r="AL135" s="97"/>
      <c r="AM135" s="97"/>
      <c r="AN135" s="97"/>
      <c r="AO135" s="97"/>
      <c r="AP135" s="97"/>
      <c r="AQ135" s="97"/>
      <c r="AR135" s="97"/>
      <c r="AS135" s="97"/>
      <c r="AT135" s="98"/>
      <c r="AU135" s="386"/>
      <c r="AV135" s="577"/>
      <c r="AW135" s="578"/>
    </row>
    <row r="136" spans="1:49" ht="15.75" customHeight="1" thickBot="1" x14ac:dyDescent="0.3">
      <c r="A136" s="570"/>
      <c r="B136" s="571"/>
      <c r="C136" s="571"/>
      <c r="D136" s="571"/>
      <c r="E136" s="571"/>
      <c r="F136" s="571"/>
      <c r="G136" s="571"/>
      <c r="H136" s="571"/>
      <c r="I136" s="571"/>
      <c r="J136" s="102"/>
      <c r="K136" s="91"/>
      <c r="L136" s="99"/>
      <c r="M136" s="99"/>
      <c r="N136" s="99"/>
      <c r="O136" s="99"/>
      <c r="P136" s="99"/>
      <c r="Q136" s="99"/>
      <c r="R136" s="99"/>
      <c r="S136" s="99"/>
      <c r="T136" s="99"/>
      <c r="U136" s="99"/>
      <c r="V136" s="99"/>
      <c r="W136" s="99"/>
      <c r="X136" s="99"/>
      <c r="Y136" s="99"/>
      <c r="Z136" s="99"/>
      <c r="AA136" s="99"/>
      <c r="AB136" s="99"/>
      <c r="AC136" s="99"/>
      <c r="AD136" s="99"/>
      <c r="AE136" s="99"/>
      <c r="AF136" s="99"/>
      <c r="AG136" s="99"/>
      <c r="AH136" s="99"/>
      <c r="AI136" s="99"/>
      <c r="AJ136" s="99"/>
      <c r="AK136" s="99"/>
      <c r="AL136" s="99"/>
      <c r="AM136" s="99"/>
      <c r="AN136" s="99"/>
      <c r="AO136" s="99"/>
      <c r="AP136" s="99"/>
      <c r="AQ136" s="99"/>
      <c r="AR136" s="99"/>
      <c r="AS136" s="99"/>
      <c r="AT136" s="100"/>
      <c r="AU136" s="572"/>
      <c r="AV136" s="573"/>
      <c r="AW136" s="574"/>
    </row>
    <row r="137" spans="1:49" ht="4.5" customHeight="1" thickBot="1" x14ac:dyDescent="0.3">
      <c r="A137" s="12"/>
      <c r="B137" s="12"/>
      <c r="C137" s="12"/>
      <c r="D137" s="12"/>
      <c r="E137" s="12"/>
      <c r="F137" s="12"/>
      <c r="G137" s="12"/>
      <c r="H137" s="12"/>
      <c r="I137" s="12"/>
    </row>
    <row r="138" spans="1:49" ht="15.75" customHeight="1" x14ac:dyDescent="0.25">
      <c r="A138" s="575" t="e">
        <f>A133</f>
        <v>#N/A</v>
      </c>
      <c r="B138" s="576"/>
      <c r="C138" s="576"/>
      <c r="D138" s="576"/>
      <c r="E138" s="576"/>
      <c r="F138" s="576"/>
      <c r="G138" s="576"/>
      <c r="H138" s="576"/>
      <c r="I138" s="576"/>
      <c r="J138" s="101"/>
      <c r="K138" s="89"/>
      <c r="L138" s="97"/>
      <c r="M138" s="97"/>
      <c r="N138" s="97"/>
      <c r="O138" s="97"/>
      <c r="P138" s="97"/>
      <c r="Q138" s="97"/>
      <c r="R138" s="97"/>
      <c r="S138" s="97"/>
      <c r="T138" s="97"/>
      <c r="U138" s="97"/>
      <c r="V138" s="97"/>
      <c r="W138" s="97"/>
      <c r="X138" s="97"/>
      <c r="Y138" s="97"/>
      <c r="Z138" s="97"/>
      <c r="AA138" s="97"/>
      <c r="AB138" s="97"/>
      <c r="AC138" s="97"/>
      <c r="AD138" s="97"/>
      <c r="AE138" s="97"/>
      <c r="AF138" s="97"/>
      <c r="AG138" s="97"/>
      <c r="AH138" s="97"/>
      <c r="AI138" s="97"/>
      <c r="AJ138" s="97"/>
      <c r="AK138" s="97"/>
      <c r="AL138" s="97"/>
      <c r="AM138" s="97"/>
      <c r="AN138" s="97"/>
      <c r="AO138" s="97"/>
      <c r="AP138" s="97"/>
      <c r="AQ138" s="97"/>
      <c r="AR138" s="97"/>
      <c r="AS138" s="97"/>
      <c r="AT138" s="98"/>
      <c r="AU138" s="579"/>
      <c r="AV138" s="580"/>
      <c r="AW138" s="581"/>
    </row>
    <row r="139" spans="1:49" ht="15.75" customHeight="1" thickBot="1" x14ac:dyDescent="0.3">
      <c r="A139" s="570"/>
      <c r="B139" s="571"/>
      <c r="C139" s="571"/>
      <c r="D139" s="571"/>
      <c r="E139" s="571"/>
      <c r="F139" s="571"/>
      <c r="G139" s="571"/>
      <c r="H139" s="571"/>
      <c r="I139" s="571"/>
      <c r="J139" s="102"/>
      <c r="K139" s="91"/>
      <c r="L139" s="99"/>
      <c r="M139" s="99"/>
      <c r="N139" s="99"/>
      <c r="O139" s="99"/>
      <c r="P139" s="99"/>
      <c r="Q139" s="99"/>
      <c r="R139" s="99"/>
      <c r="S139" s="99"/>
      <c r="T139" s="99"/>
      <c r="U139" s="99"/>
      <c r="V139" s="99"/>
      <c r="W139" s="99"/>
      <c r="X139" s="99"/>
      <c r="Y139" s="99"/>
      <c r="Z139" s="99"/>
      <c r="AA139" s="99"/>
      <c r="AB139" s="99"/>
      <c r="AC139" s="99"/>
      <c r="AD139" s="99"/>
      <c r="AE139" s="99"/>
      <c r="AF139" s="99"/>
      <c r="AG139" s="99"/>
      <c r="AH139" s="99"/>
      <c r="AI139" s="99"/>
      <c r="AJ139" s="99"/>
      <c r="AK139" s="99"/>
      <c r="AL139" s="99"/>
      <c r="AM139" s="99"/>
      <c r="AN139" s="99"/>
      <c r="AO139" s="99"/>
      <c r="AP139" s="99"/>
      <c r="AQ139" s="99"/>
      <c r="AR139" s="99"/>
      <c r="AS139" s="99"/>
      <c r="AT139" s="100"/>
      <c r="AU139" s="572"/>
      <c r="AV139" s="573"/>
      <c r="AW139" s="574"/>
    </row>
    <row r="140" spans="1:49" ht="15.75" customHeight="1" x14ac:dyDescent="0.25">
      <c r="A140" s="575" t="e">
        <f>A135</f>
        <v>#N/A</v>
      </c>
      <c r="B140" s="576"/>
      <c r="C140" s="576"/>
      <c r="D140" s="576"/>
      <c r="E140" s="576"/>
      <c r="F140" s="576"/>
      <c r="G140" s="576"/>
      <c r="H140" s="576"/>
      <c r="I140" s="576"/>
      <c r="J140" s="101"/>
      <c r="K140" s="89"/>
      <c r="L140" s="97"/>
      <c r="M140" s="97"/>
      <c r="N140" s="97"/>
      <c r="O140" s="97"/>
      <c r="P140" s="97"/>
      <c r="Q140" s="97"/>
      <c r="R140" s="97"/>
      <c r="S140" s="97"/>
      <c r="T140" s="97"/>
      <c r="U140" s="97"/>
      <c r="V140" s="97"/>
      <c r="W140" s="97"/>
      <c r="X140" s="97"/>
      <c r="Y140" s="97"/>
      <c r="Z140" s="97"/>
      <c r="AA140" s="97"/>
      <c r="AB140" s="97"/>
      <c r="AC140" s="97"/>
      <c r="AD140" s="97"/>
      <c r="AE140" s="97"/>
      <c r="AF140" s="97"/>
      <c r="AG140" s="97"/>
      <c r="AH140" s="97"/>
      <c r="AI140" s="97"/>
      <c r="AJ140" s="97"/>
      <c r="AK140" s="97"/>
      <c r="AL140" s="97"/>
      <c r="AM140" s="97"/>
      <c r="AN140" s="97"/>
      <c r="AO140" s="97"/>
      <c r="AP140" s="97"/>
      <c r="AQ140" s="97"/>
      <c r="AR140" s="97"/>
      <c r="AS140" s="97"/>
      <c r="AT140" s="98"/>
      <c r="AU140" s="386"/>
      <c r="AV140" s="577"/>
      <c r="AW140" s="578"/>
    </row>
    <row r="141" spans="1:49" ht="15.75" customHeight="1" thickBot="1" x14ac:dyDescent="0.3">
      <c r="A141" s="570"/>
      <c r="B141" s="571"/>
      <c r="C141" s="571"/>
      <c r="D141" s="571"/>
      <c r="E141" s="571"/>
      <c r="F141" s="571"/>
      <c r="G141" s="571"/>
      <c r="H141" s="571"/>
      <c r="I141" s="571"/>
      <c r="J141" s="102"/>
      <c r="K141" s="91"/>
      <c r="L141" s="99"/>
      <c r="M141" s="99"/>
      <c r="N141" s="99"/>
      <c r="O141" s="99"/>
      <c r="P141" s="99"/>
      <c r="Q141" s="99"/>
      <c r="R141" s="99"/>
      <c r="S141" s="99"/>
      <c r="T141" s="99"/>
      <c r="U141" s="99"/>
      <c r="V141" s="99"/>
      <c r="W141" s="99"/>
      <c r="X141" s="99"/>
      <c r="Y141" s="99"/>
      <c r="Z141" s="99"/>
      <c r="AA141" s="99"/>
      <c r="AB141" s="99"/>
      <c r="AC141" s="99"/>
      <c r="AD141" s="99"/>
      <c r="AE141" s="99"/>
      <c r="AF141" s="99"/>
      <c r="AG141" s="99"/>
      <c r="AH141" s="99"/>
      <c r="AI141" s="99"/>
      <c r="AJ141" s="99"/>
      <c r="AK141" s="99"/>
      <c r="AL141" s="99"/>
      <c r="AM141" s="99"/>
      <c r="AN141" s="99"/>
      <c r="AO141" s="99"/>
      <c r="AP141" s="99"/>
      <c r="AQ141" s="99"/>
      <c r="AR141" s="99"/>
      <c r="AS141" s="99"/>
      <c r="AT141" s="100"/>
      <c r="AU141" s="572"/>
      <c r="AV141" s="573"/>
      <c r="AW141" s="574"/>
    </row>
    <row r="142" spans="1:49" ht="4.5" customHeight="1" thickBot="1" x14ac:dyDescent="0.3">
      <c r="A142" s="12"/>
      <c r="B142" s="12"/>
      <c r="C142" s="12"/>
      <c r="D142" s="12"/>
      <c r="E142" s="12"/>
      <c r="F142" s="12"/>
      <c r="G142" s="12"/>
      <c r="H142" s="12"/>
      <c r="I142" s="12"/>
    </row>
    <row r="143" spans="1:49" ht="15.75" customHeight="1" x14ac:dyDescent="0.25">
      <c r="A143" s="575" t="e">
        <f>A138</f>
        <v>#N/A</v>
      </c>
      <c r="B143" s="576"/>
      <c r="C143" s="576"/>
      <c r="D143" s="576"/>
      <c r="E143" s="576"/>
      <c r="F143" s="576"/>
      <c r="G143" s="576"/>
      <c r="H143" s="576"/>
      <c r="I143" s="576"/>
      <c r="J143" s="101"/>
      <c r="K143" s="89"/>
      <c r="L143" s="97"/>
      <c r="M143" s="97"/>
      <c r="N143" s="97"/>
      <c r="O143" s="97"/>
      <c r="P143" s="97"/>
      <c r="Q143" s="97"/>
      <c r="R143" s="97"/>
      <c r="S143" s="97"/>
      <c r="T143" s="97"/>
      <c r="U143" s="97"/>
      <c r="V143" s="97"/>
      <c r="W143" s="97"/>
      <c r="X143" s="97"/>
      <c r="Y143" s="97"/>
      <c r="Z143" s="97"/>
      <c r="AA143" s="97"/>
      <c r="AB143" s="97"/>
      <c r="AC143" s="97"/>
      <c r="AD143" s="97"/>
      <c r="AE143" s="97"/>
      <c r="AF143" s="97"/>
      <c r="AG143" s="97"/>
      <c r="AH143" s="97"/>
      <c r="AI143" s="97"/>
      <c r="AJ143" s="97"/>
      <c r="AK143" s="97"/>
      <c r="AL143" s="97"/>
      <c r="AM143" s="97"/>
      <c r="AN143" s="97"/>
      <c r="AO143" s="97"/>
      <c r="AP143" s="97"/>
      <c r="AQ143" s="97"/>
      <c r="AR143" s="97"/>
      <c r="AS143" s="97"/>
      <c r="AT143" s="98"/>
      <c r="AU143" s="579"/>
      <c r="AV143" s="580"/>
      <c r="AW143" s="581"/>
    </row>
    <row r="144" spans="1:49" ht="15.75" customHeight="1" thickBot="1" x14ac:dyDescent="0.3">
      <c r="A144" s="570"/>
      <c r="B144" s="571"/>
      <c r="C144" s="571"/>
      <c r="D144" s="571"/>
      <c r="E144" s="571"/>
      <c r="F144" s="571"/>
      <c r="G144" s="571"/>
      <c r="H144" s="571"/>
      <c r="I144" s="571"/>
      <c r="J144" s="102"/>
      <c r="K144" s="91"/>
      <c r="L144" s="99"/>
      <c r="M144" s="99"/>
      <c r="N144" s="99"/>
      <c r="O144" s="99"/>
      <c r="P144" s="99"/>
      <c r="Q144" s="99"/>
      <c r="R144" s="99"/>
      <c r="S144" s="99"/>
      <c r="T144" s="99"/>
      <c r="U144" s="99"/>
      <c r="V144" s="99"/>
      <c r="W144" s="99"/>
      <c r="X144" s="99"/>
      <c r="Y144" s="99"/>
      <c r="Z144" s="99"/>
      <c r="AA144" s="99"/>
      <c r="AB144" s="99"/>
      <c r="AC144" s="99"/>
      <c r="AD144" s="99"/>
      <c r="AE144" s="99"/>
      <c r="AF144" s="99"/>
      <c r="AG144" s="99"/>
      <c r="AH144" s="99"/>
      <c r="AI144" s="99"/>
      <c r="AJ144" s="99"/>
      <c r="AK144" s="99"/>
      <c r="AL144" s="99"/>
      <c r="AM144" s="99"/>
      <c r="AN144" s="99"/>
      <c r="AO144" s="99"/>
      <c r="AP144" s="99"/>
      <c r="AQ144" s="99"/>
      <c r="AR144" s="99"/>
      <c r="AS144" s="99"/>
      <c r="AT144" s="100"/>
      <c r="AU144" s="572"/>
      <c r="AV144" s="573"/>
      <c r="AW144" s="574"/>
    </row>
    <row r="145" spans="1:49" ht="15.75" customHeight="1" x14ac:dyDescent="0.25">
      <c r="A145" s="575" t="e">
        <f>A140</f>
        <v>#N/A</v>
      </c>
      <c r="B145" s="576"/>
      <c r="C145" s="576"/>
      <c r="D145" s="576"/>
      <c r="E145" s="576"/>
      <c r="F145" s="576"/>
      <c r="G145" s="576"/>
      <c r="H145" s="576"/>
      <c r="I145" s="576"/>
      <c r="J145" s="101"/>
      <c r="K145" s="89"/>
      <c r="L145" s="97"/>
      <c r="M145" s="97"/>
      <c r="N145" s="97"/>
      <c r="O145" s="97"/>
      <c r="P145" s="97"/>
      <c r="Q145" s="97"/>
      <c r="R145" s="97"/>
      <c r="S145" s="97"/>
      <c r="T145" s="97"/>
      <c r="U145" s="97"/>
      <c r="V145" s="97"/>
      <c r="W145" s="97"/>
      <c r="X145" s="97"/>
      <c r="Y145" s="97"/>
      <c r="Z145" s="97"/>
      <c r="AA145" s="97"/>
      <c r="AB145" s="97"/>
      <c r="AC145" s="97"/>
      <c r="AD145" s="97"/>
      <c r="AE145" s="97"/>
      <c r="AF145" s="97"/>
      <c r="AG145" s="97"/>
      <c r="AH145" s="97"/>
      <c r="AI145" s="97"/>
      <c r="AJ145" s="97"/>
      <c r="AK145" s="97"/>
      <c r="AL145" s="97"/>
      <c r="AM145" s="97"/>
      <c r="AN145" s="97"/>
      <c r="AO145" s="97"/>
      <c r="AP145" s="97"/>
      <c r="AQ145" s="97"/>
      <c r="AR145" s="97"/>
      <c r="AS145" s="97"/>
      <c r="AT145" s="98"/>
      <c r="AU145" s="386"/>
      <c r="AV145" s="577"/>
      <c r="AW145" s="578"/>
    </row>
    <row r="146" spans="1:49" ht="15.75" customHeight="1" thickBot="1" x14ac:dyDescent="0.3">
      <c r="A146" s="570"/>
      <c r="B146" s="571"/>
      <c r="C146" s="571"/>
      <c r="D146" s="571"/>
      <c r="E146" s="571"/>
      <c r="F146" s="571"/>
      <c r="G146" s="571"/>
      <c r="H146" s="571"/>
      <c r="I146" s="571"/>
      <c r="J146" s="102"/>
      <c r="K146" s="91"/>
      <c r="L146" s="99"/>
      <c r="M146" s="99"/>
      <c r="N146" s="99"/>
      <c r="O146" s="99"/>
      <c r="P146" s="99"/>
      <c r="Q146" s="99"/>
      <c r="R146" s="99"/>
      <c r="S146" s="99"/>
      <c r="T146" s="99"/>
      <c r="U146" s="99"/>
      <c r="V146" s="99"/>
      <c r="W146" s="99"/>
      <c r="X146" s="99"/>
      <c r="Y146" s="99"/>
      <c r="Z146" s="99"/>
      <c r="AA146" s="99"/>
      <c r="AB146" s="99"/>
      <c r="AC146" s="99"/>
      <c r="AD146" s="99"/>
      <c r="AE146" s="99"/>
      <c r="AF146" s="99"/>
      <c r="AG146" s="99"/>
      <c r="AH146" s="99"/>
      <c r="AI146" s="99"/>
      <c r="AJ146" s="99"/>
      <c r="AK146" s="99"/>
      <c r="AL146" s="99"/>
      <c r="AM146" s="99"/>
      <c r="AN146" s="99"/>
      <c r="AO146" s="99"/>
      <c r="AP146" s="99"/>
      <c r="AQ146" s="99"/>
      <c r="AR146" s="99"/>
      <c r="AS146" s="99"/>
      <c r="AT146" s="100"/>
      <c r="AU146" s="572"/>
      <c r="AV146" s="573"/>
      <c r="AW146" s="574"/>
    </row>
    <row r="147" spans="1:49" ht="4.5" customHeight="1" thickBot="1" x14ac:dyDescent="0.3">
      <c r="A147" s="12"/>
      <c r="B147" s="12"/>
      <c r="C147" s="12"/>
      <c r="D147" s="12"/>
      <c r="E147" s="12"/>
      <c r="F147" s="12"/>
      <c r="G147" s="12"/>
      <c r="H147" s="12"/>
      <c r="I147" s="12"/>
    </row>
    <row r="148" spans="1:49" ht="15.75" customHeight="1" x14ac:dyDescent="0.25">
      <c r="A148" s="575" t="e">
        <f>A143</f>
        <v>#N/A</v>
      </c>
      <c r="B148" s="576"/>
      <c r="C148" s="576"/>
      <c r="D148" s="576"/>
      <c r="E148" s="576"/>
      <c r="F148" s="576"/>
      <c r="G148" s="576"/>
      <c r="H148" s="576"/>
      <c r="I148" s="576"/>
      <c r="J148" s="101"/>
      <c r="K148" s="89"/>
      <c r="L148" s="97"/>
      <c r="M148" s="97"/>
      <c r="N148" s="97"/>
      <c r="O148" s="97"/>
      <c r="P148" s="97"/>
      <c r="Q148" s="97"/>
      <c r="R148" s="97"/>
      <c r="S148" s="97"/>
      <c r="T148" s="97"/>
      <c r="U148" s="97"/>
      <c r="V148" s="97"/>
      <c r="W148" s="97"/>
      <c r="X148" s="97"/>
      <c r="Y148" s="97"/>
      <c r="Z148" s="97"/>
      <c r="AA148" s="97"/>
      <c r="AB148" s="97"/>
      <c r="AC148" s="97"/>
      <c r="AD148" s="97"/>
      <c r="AE148" s="97"/>
      <c r="AF148" s="97"/>
      <c r="AG148" s="97"/>
      <c r="AH148" s="97"/>
      <c r="AI148" s="97"/>
      <c r="AJ148" s="97"/>
      <c r="AK148" s="97"/>
      <c r="AL148" s="97"/>
      <c r="AM148" s="97"/>
      <c r="AN148" s="97"/>
      <c r="AO148" s="97"/>
      <c r="AP148" s="97"/>
      <c r="AQ148" s="97"/>
      <c r="AR148" s="97"/>
      <c r="AS148" s="97"/>
      <c r="AT148" s="98"/>
      <c r="AU148" s="579"/>
      <c r="AV148" s="580"/>
      <c r="AW148" s="581"/>
    </row>
    <row r="149" spans="1:49" ht="15.75" customHeight="1" thickBot="1" x14ac:dyDescent="0.3">
      <c r="A149" s="570"/>
      <c r="B149" s="571"/>
      <c r="C149" s="571"/>
      <c r="D149" s="571"/>
      <c r="E149" s="571"/>
      <c r="F149" s="571"/>
      <c r="G149" s="571"/>
      <c r="H149" s="571"/>
      <c r="I149" s="571"/>
      <c r="J149" s="102"/>
      <c r="K149" s="91"/>
      <c r="L149" s="99"/>
      <c r="M149" s="99"/>
      <c r="N149" s="99"/>
      <c r="O149" s="99"/>
      <c r="P149" s="99"/>
      <c r="Q149" s="99"/>
      <c r="R149" s="99"/>
      <c r="S149" s="99"/>
      <c r="T149" s="99"/>
      <c r="U149" s="99"/>
      <c r="V149" s="99"/>
      <c r="W149" s="99"/>
      <c r="X149" s="99"/>
      <c r="Y149" s="99"/>
      <c r="Z149" s="99"/>
      <c r="AA149" s="99"/>
      <c r="AB149" s="99"/>
      <c r="AC149" s="99"/>
      <c r="AD149" s="99"/>
      <c r="AE149" s="99"/>
      <c r="AF149" s="99"/>
      <c r="AG149" s="99"/>
      <c r="AH149" s="99"/>
      <c r="AI149" s="99"/>
      <c r="AJ149" s="99"/>
      <c r="AK149" s="99"/>
      <c r="AL149" s="99"/>
      <c r="AM149" s="99"/>
      <c r="AN149" s="99"/>
      <c r="AO149" s="99"/>
      <c r="AP149" s="99"/>
      <c r="AQ149" s="99"/>
      <c r="AR149" s="99"/>
      <c r="AS149" s="99"/>
      <c r="AT149" s="100"/>
      <c r="AU149" s="572"/>
      <c r="AV149" s="573"/>
      <c r="AW149" s="574"/>
    </row>
    <row r="150" spans="1:49" ht="15.75" customHeight="1" x14ac:dyDescent="0.25">
      <c r="A150" s="575" t="e">
        <f>A145</f>
        <v>#N/A</v>
      </c>
      <c r="B150" s="576"/>
      <c r="C150" s="576"/>
      <c r="D150" s="576"/>
      <c r="E150" s="576"/>
      <c r="F150" s="576"/>
      <c r="G150" s="576"/>
      <c r="H150" s="576"/>
      <c r="I150" s="576"/>
      <c r="J150" s="101"/>
      <c r="K150" s="89"/>
      <c r="L150" s="97"/>
      <c r="M150" s="97"/>
      <c r="N150" s="97"/>
      <c r="O150" s="97"/>
      <c r="P150" s="97"/>
      <c r="Q150" s="97"/>
      <c r="R150" s="97"/>
      <c r="S150" s="97"/>
      <c r="T150" s="97"/>
      <c r="U150" s="97"/>
      <c r="V150" s="97"/>
      <c r="W150" s="97"/>
      <c r="X150" s="97"/>
      <c r="Y150" s="97"/>
      <c r="Z150" s="97"/>
      <c r="AA150" s="97"/>
      <c r="AB150" s="97"/>
      <c r="AC150" s="97"/>
      <c r="AD150" s="97"/>
      <c r="AE150" s="97"/>
      <c r="AF150" s="97"/>
      <c r="AG150" s="97"/>
      <c r="AH150" s="97"/>
      <c r="AI150" s="97"/>
      <c r="AJ150" s="97"/>
      <c r="AK150" s="97"/>
      <c r="AL150" s="97"/>
      <c r="AM150" s="97"/>
      <c r="AN150" s="97"/>
      <c r="AO150" s="97"/>
      <c r="AP150" s="97"/>
      <c r="AQ150" s="97"/>
      <c r="AR150" s="97"/>
      <c r="AS150" s="97"/>
      <c r="AT150" s="98"/>
      <c r="AU150" s="386"/>
      <c r="AV150" s="577"/>
      <c r="AW150" s="578"/>
    </row>
    <row r="151" spans="1:49" ht="15.75" customHeight="1" thickBot="1" x14ac:dyDescent="0.3">
      <c r="A151" s="570"/>
      <c r="B151" s="571"/>
      <c r="C151" s="571"/>
      <c r="D151" s="571"/>
      <c r="E151" s="571"/>
      <c r="F151" s="571"/>
      <c r="G151" s="571"/>
      <c r="H151" s="571"/>
      <c r="I151" s="571"/>
      <c r="J151" s="102"/>
      <c r="K151" s="91"/>
      <c r="L151" s="99"/>
      <c r="M151" s="99"/>
      <c r="N151" s="99"/>
      <c r="O151" s="99"/>
      <c r="P151" s="99"/>
      <c r="Q151" s="99"/>
      <c r="R151" s="99"/>
      <c r="S151" s="99"/>
      <c r="T151" s="99"/>
      <c r="U151" s="99"/>
      <c r="V151" s="99"/>
      <c r="W151" s="99"/>
      <c r="X151" s="99"/>
      <c r="Y151" s="99"/>
      <c r="Z151" s="99"/>
      <c r="AA151" s="99"/>
      <c r="AB151" s="99"/>
      <c r="AC151" s="99"/>
      <c r="AD151" s="99"/>
      <c r="AE151" s="99"/>
      <c r="AF151" s="99"/>
      <c r="AG151" s="99"/>
      <c r="AH151" s="99"/>
      <c r="AI151" s="99"/>
      <c r="AJ151" s="99"/>
      <c r="AK151" s="99"/>
      <c r="AL151" s="99"/>
      <c r="AM151" s="99"/>
      <c r="AN151" s="99"/>
      <c r="AO151" s="99"/>
      <c r="AP151" s="99"/>
      <c r="AQ151" s="99"/>
      <c r="AR151" s="99"/>
      <c r="AS151" s="99"/>
      <c r="AT151" s="100"/>
      <c r="AU151" s="572"/>
      <c r="AV151" s="573"/>
      <c r="AW151" s="574"/>
    </row>
    <row r="152" spans="1:49" ht="4.5" customHeight="1" thickBot="1" x14ac:dyDescent="0.3">
      <c r="A152" s="12"/>
      <c r="B152" s="12"/>
      <c r="C152" s="12"/>
      <c r="D152" s="12"/>
      <c r="E152" s="12"/>
      <c r="F152" s="12"/>
      <c r="G152" s="12"/>
      <c r="H152" s="12"/>
      <c r="I152" s="12"/>
    </row>
    <row r="153" spans="1:49" ht="15.75" customHeight="1" x14ac:dyDescent="0.25">
      <c r="A153" s="575" t="e">
        <f>A148</f>
        <v>#N/A</v>
      </c>
      <c r="B153" s="576"/>
      <c r="C153" s="576"/>
      <c r="D153" s="576"/>
      <c r="E153" s="576"/>
      <c r="F153" s="576"/>
      <c r="G153" s="576"/>
      <c r="H153" s="576"/>
      <c r="I153" s="576"/>
      <c r="J153" s="101"/>
      <c r="K153" s="89"/>
      <c r="L153" s="97"/>
      <c r="M153" s="97"/>
      <c r="N153" s="97"/>
      <c r="O153" s="97"/>
      <c r="P153" s="97"/>
      <c r="Q153" s="97"/>
      <c r="R153" s="97"/>
      <c r="S153" s="97"/>
      <c r="T153" s="97"/>
      <c r="U153" s="97"/>
      <c r="V153" s="97"/>
      <c r="W153" s="97"/>
      <c r="X153" s="97"/>
      <c r="Y153" s="97"/>
      <c r="Z153" s="97"/>
      <c r="AA153" s="97"/>
      <c r="AB153" s="97"/>
      <c r="AC153" s="97"/>
      <c r="AD153" s="97"/>
      <c r="AE153" s="97"/>
      <c r="AF153" s="97"/>
      <c r="AG153" s="97"/>
      <c r="AH153" s="97"/>
      <c r="AI153" s="97"/>
      <c r="AJ153" s="97"/>
      <c r="AK153" s="97"/>
      <c r="AL153" s="97"/>
      <c r="AM153" s="97"/>
      <c r="AN153" s="97"/>
      <c r="AO153" s="97"/>
      <c r="AP153" s="97"/>
      <c r="AQ153" s="97"/>
      <c r="AR153" s="97"/>
      <c r="AS153" s="97"/>
      <c r="AT153" s="98"/>
      <c r="AU153" s="579"/>
      <c r="AV153" s="580"/>
      <c r="AW153" s="581"/>
    </row>
    <row r="154" spans="1:49" ht="15.75" customHeight="1" thickBot="1" x14ac:dyDescent="0.3">
      <c r="A154" s="570"/>
      <c r="B154" s="571"/>
      <c r="C154" s="571"/>
      <c r="D154" s="571"/>
      <c r="E154" s="571"/>
      <c r="F154" s="571"/>
      <c r="G154" s="571"/>
      <c r="H154" s="571"/>
      <c r="I154" s="571"/>
      <c r="J154" s="102"/>
      <c r="K154" s="91"/>
      <c r="L154" s="99"/>
      <c r="M154" s="99"/>
      <c r="N154" s="99"/>
      <c r="O154" s="99"/>
      <c r="P154" s="99"/>
      <c r="Q154" s="99"/>
      <c r="R154" s="99"/>
      <c r="S154" s="99"/>
      <c r="T154" s="99"/>
      <c r="U154" s="99"/>
      <c r="V154" s="99"/>
      <c r="W154" s="99"/>
      <c r="X154" s="99"/>
      <c r="Y154" s="99"/>
      <c r="Z154" s="99"/>
      <c r="AA154" s="99"/>
      <c r="AB154" s="99"/>
      <c r="AC154" s="99"/>
      <c r="AD154" s="99"/>
      <c r="AE154" s="99"/>
      <c r="AF154" s="99"/>
      <c r="AG154" s="99"/>
      <c r="AH154" s="99"/>
      <c r="AI154" s="99"/>
      <c r="AJ154" s="99"/>
      <c r="AK154" s="99"/>
      <c r="AL154" s="99"/>
      <c r="AM154" s="99"/>
      <c r="AN154" s="99"/>
      <c r="AO154" s="99"/>
      <c r="AP154" s="99"/>
      <c r="AQ154" s="99"/>
      <c r="AR154" s="99"/>
      <c r="AS154" s="99"/>
      <c r="AT154" s="100"/>
      <c r="AU154" s="572"/>
      <c r="AV154" s="573"/>
      <c r="AW154" s="574"/>
    </row>
    <row r="155" spans="1:49" ht="15.75" customHeight="1" x14ac:dyDescent="0.25">
      <c r="A155" s="575" t="e">
        <f>A150</f>
        <v>#N/A</v>
      </c>
      <c r="B155" s="576"/>
      <c r="C155" s="576"/>
      <c r="D155" s="576"/>
      <c r="E155" s="576"/>
      <c r="F155" s="576"/>
      <c r="G155" s="576"/>
      <c r="H155" s="576"/>
      <c r="I155" s="576"/>
      <c r="J155" s="101"/>
      <c r="K155" s="89"/>
      <c r="L155" s="97"/>
      <c r="M155" s="97"/>
      <c r="N155" s="97"/>
      <c r="O155" s="97"/>
      <c r="P155" s="97"/>
      <c r="Q155" s="97"/>
      <c r="R155" s="97"/>
      <c r="S155" s="97"/>
      <c r="T155" s="97"/>
      <c r="U155" s="97"/>
      <c r="V155" s="97"/>
      <c r="W155" s="97"/>
      <c r="X155" s="97"/>
      <c r="Y155" s="97"/>
      <c r="Z155" s="97"/>
      <c r="AA155" s="97"/>
      <c r="AB155" s="97"/>
      <c r="AC155" s="97"/>
      <c r="AD155" s="97"/>
      <c r="AE155" s="97"/>
      <c r="AF155" s="97"/>
      <c r="AG155" s="97"/>
      <c r="AH155" s="97"/>
      <c r="AI155" s="97"/>
      <c r="AJ155" s="97"/>
      <c r="AK155" s="97"/>
      <c r="AL155" s="97"/>
      <c r="AM155" s="97"/>
      <c r="AN155" s="97"/>
      <c r="AO155" s="97"/>
      <c r="AP155" s="97"/>
      <c r="AQ155" s="97"/>
      <c r="AR155" s="97"/>
      <c r="AS155" s="97"/>
      <c r="AT155" s="98"/>
      <c r="AU155" s="386"/>
      <c r="AV155" s="577"/>
      <c r="AW155" s="578"/>
    </row>
    <row r="156" spans="1:49" ht="15.75" customHeight="1" thickBot="1" x14ac:dyDescent="0.3">
      <c r="A156" s="570"/>
      <c r="B156" s="571"/>
      <c r="C156" s="571"/>
      <c r="D156" s="571"/>
      <c r="E156" s="571"/>
      <c r="F156" s="571"/>
      <c r="G156" s="571"/>
      <c r="H156" s="571"/>
      <c r="I156" s="571"/>
      <c r="J156" s="102"/>
      <c r="K156" s="91"/>
      <c r="L156" s="99"/>
      <c r="M156" s="99"/>
      <c r="N156" s="99"/>
      <c r="O156" s="99"/>
      <c r="P156" s="99"/>
      <c r="Q156" s="99"/>
      <c r="R156" s="99"/>
      <c r="S156" s="99"/>
      <c r="T156" s="99"/>
      <c r="U156" s="99"/>
      <c r="V156" s="99"/>
      <c r="W156" s="99"/>
      <c r="X156" s="99"/>
      <c r="Y156" s="99"/>
      <c r="Z156" s="99"/>
      <c r="AA156" s="99"/>
      <c r="AB156" s="99"/>
      <c r="AC156" s="99"/>
      <c r="AD156" s="99"/>
      <c r="AE156" s="99"/>
      <c r="AF156" s="99"/>
      <c r="AG156" s="99"/>
      <c r="AH156" s="99"/>
      <c r="AI156" s="99"/>
      <c r="AJ156" s="99"/>
      <c r="AK156" s="99"/>
      <c r="AL156" s="99"/>
      <c r="AM156" s="99"/>
      <c r="AN156" s="99"/>
      <c r="AO156" s="99"/>
      <c r="AP156" s="99"/>
      <c r="AQ156" s="99"/>
      <c r="AR156" s="99"/>
      <c r="AS156" s="99"/>
      <c r="AT156" s="100"/>
      <c r="AU156" s="572"/>
      <c r="AV156" s="573"/>
      <c r="AW156" s="574"/>
    </row>
    <row r="157" spans="1:49" ht="4.5" customHeight="1" x14ac:dyDescent="0.25"/>
    <row r="160" spans="1:49" x14ac:dyDescent="0.25">
      <c r="M160" t="s">
        <v>340</v>
      </c>
      <c r="R160" s="103"/>
      <c r="S160" s="103"/>
      <c r="T160" s="103"/>
      <c r="U160" s="103"/>
      <c r="V160" s="103"/>
      <c r="W160" s="103"/>
      <c r="X160" s="103"/>
      <c r="Y160" s="103"/>
      <c r="Z160" s="103"/>
      <c r="AA160" s="103"/>
      <c r="AB160" s="103"/>
      <c r="AC160" s="103"/>
      <c r="AD160" s="103"/>
      <c r="AF160" t="s">
        <v>284</v>
      </c>
      <c r="AK160" s="103"/>
      <c r="AL160" s="103"/>
      <c r="AM160" s="103"/>
      <c r="AN160" s="103"/>
      <c r="AO160" s="103"/>
      <c r="AP160" s="103"/>
      <c r="AQ160" s="103"/>
      <c r="AR160" s="103"/>
      <c r="AS160" s="103"/>
      <c r="AT160" s="103"/>
      <c r="AU160" s="103"/>
      <c r="AV160" s="103"/>
      <c r="AW160" s="103"/>
    </row>
    <row r="161" spans="1:49" x14ac:dyDescent="0.25">
      <c r="A161" s="591" t="s">
        <v>208</v>
      </c>
      <c r="B161" s="591"/>
      <c r="C161" s="591"/>
      <c r="D161" s="591"/>
      <c r="E161" s="591"/>
      <c r="F161" s="591"/>
      <c r="G161" s="591"/>
      <c r="H161" s="591"/>
      <c r="I161" s="591"/>
      <c r="J161" s="591"/>
      <c r="K161" s="591"/>
      <c r="L161" s="591"/>
      <c r="M161" s="591"/>
      <c r="N161" s="591"/>
      <c r="O161" s="591"/>
      <c r="P161" s="591"/>
      <c r="Q161" s="591"/>
      <c r="R161" s="591"/>
      <c r="S161" s="591"/>
      <c r="T161" s="591"/>
      <c r="U161" s="591"/>
      <c r="V161" s="591"/>
      <c r="W161" s="591"/>
      <c r="X161" s="591"/>
      <c r="Y161" s="591"/>
      <c r="Z161" s="591"/>
      <c r="AA161" s="591"/>
      <c r="AB161" s="591"/>
      <c r="AC161" s="591"/>
      <c r="AD161" s="591"/>
      <c r="AE161" s="591"/>
      <c r="AF161" s="591"/>
      <c r="AG161" s="591"/>
      <c r="AH161" s="591"/>
      <c r="AI161" s="591"/>
      <c r="AJ161" s="591"/>
      <c r="AK161" s="591"/>
      <c r="AL161" s="591"/>
      <c r="AM161" s="591"/>
      <c r="AN161" s="591"/>
      <c r="AO161" s="591"/>
      <c r="AP161" s="591"/>
      <c r="AQ161" s="591"/>
      <c r="AR161" s="591"/>
      <c r="AS161" s="591"/>
      <c r="AT161" s="591"/>
      <c r="AU161" s="591"/>
      <c r="AV161" s="591"/>
      <c r="AW161" s="591"/>
    </row>
    <row r="162" spans="1:49" x14ac:dyDescent="0.25">
      <c r="A162" s="591"/>
      <c r="B162" s="591"/>
      <c r="C162" s="591"/>
      <c r="D162" s="591"/>
      <c r="E162" s="591"/>
      <c r="F162" s="591"/>
      <c r="G162" s="591"/>
      <c r="H162" s="591"/>
      <c r="I162" s="591"/>
      <c r="J162" s="591"/>
      <c r="K162" s="591"/>
      <c r="L162" s="591"/>
      <c r="M162" s="591"/>
      <c r="N162" s="591"/>
      <c r="O162" s="591"/>
      <c r="P162" s="591"/>
      <c r="Q162" s="591"/>
      <c r="R162" s="591"/>
      <c r="S162" s="591"/>
      <c r="T162" s="591"/>
      <c r="U162" s="591"/>
      <c r="V162" s="591"/>
      <c r="W162" s="591"/>
      <c r="X162" s="591"/>
      <c r="Y162" s="591"/>
      <c r="Z162" s="591"/>
      <c r="AA162" s="591"/>
      <c r="AB162" s="591"/>
      <c r="AC162" s="591"/>
      <c r="AD162" s="591"/>
      <c r="AE162" s="591"/>
      <c r="AF162" s="591"/>
      <c r="AG162" s="591"/>
      <c r="AH162" s="591"/>
      <c r="AI162" s="591"/>
      <c r="AJ162" s="591"/>
      <c r="AK162" s="591"/>
      <c r="AL162" s="591"/>
      <c r="AM162" s="591"/>
      <c r="AN162" s="591"/>
      <c r="AO162" s="591"/>
      <c r="AP162" s="591"/>
      <c r="AQ162" s="591"/>
      <c r="AR162" s="591"/>
      <c r="AS162" s="591"/>
      <c r="AT162" s="591"/>
      <c r="AU162" s="591"/>
      <c r="AV162" s="591"/>
      <c r="AW162" s="591"/>
    </row>
    <row r="163" spans="1:49" ht="15.75" thickBot="1" x14ac:dyDescent="0.3">
      <c r="B163" t="s">
        <v>331</v>
      </c>
      <c r="E163" s="583" t="str">
        <f>Spielbericht!D19</f>
        <v>DE</v>
      </c>
      <c r="F163" s="583"/>
      <c r="G163" s="583"/>
      <c r="H163" s="583"/>
      <c r="I163" s="208">
        <f>Spielbericht!A19</f>
        <v>0</v>
      </c>
      <c r="J163" s="208"/>
      <c r="K163" s="208"/>
      <c r="L163" s="592" t="s">
        <v>334</v>
      </c>
      <c r="M163" s="592"/>
      <c r="N163" s="592"/>
      <c r="O163" s="592"/>
      <c r="P163" s="592"/>
      <c r="Q163" s="592"/>
      <c r="R163" s="592"/>
      <c r="S163" s="592"/>
      <c r="T163" s="592"/>
      <c r="U163" s="592"/>
      <c r="V163" s="592"/>
      <c r="W163" s="592"/>
      <c r="X163" s="592"/>
      <c r="Y163" s="592"/>
      <c r="Z163" s="592"/>
      <c r="AA163" s="592"/>
      <c r="AB163" s="592"/>
      <c r="AC163" s="592"/>
      <c r="AD163" s="592"/>
      <c r="AE163" s="592"/>
      <c r="AF163" s="592"/>
      <c r="AG163" s="592"/>
      <c r="AH163" s="592"/>
      <c r="AI163" s="592"/>
      <c r="AJ163" s="592"/>
      <c r="AK163" s="592"/>
      <c r="AL163" s="592"/>
    </row>
    <row r="164" spans="1:49" ht="15.75" thickBot="1" x14ac:dyDescent="0.3">
      <c r="B164" t="s">
        <v>336</v>
      </c>
      <c r="E164" s="583">
        <f ca="1">E126</f>
        <v>42418</v>
      </c>
      <c r="F164" s="208"/>
      <c r="G164" s="208"/>
      <c r="H164" s="208"/>
      <c r="I164" s="208"/>
      <c r="J164" s="208"/>
      <c r="K164" s="208"/>
      <c r="L164" s="94"/>
      <c r="M164" s="584" t="e">
        <f>Spielbericht!K19</f>
        <v>#N/A</v>
      </c>
      <c r="N164" s="585"/>
      <c r="O164" s="585"/>
      <c r="P164" s="585"/>
      <c r="Q164" s="585"/>
      <c r="R164" s="585"/>
      <c r="S164" s="585"/>
      <c r="T164" s="585"/>
      <c r="U164" s="586"/>
      <c r="V164" s="95" t="s">
        <v>337</v>
      </c>
      <c r="W164" s="580" t="str">
        <f>IF(Spielbericht!BN19="","",Spielbericht!BN19)</f>
        <v/>
      </c>
      <c r="X164" s="580"/>
      <c r="Y164" s="111" t="s">
        <v>301</v>
      </c>
      <c r="Z164" s="580" t="str">
        <f>IF(Spielbericht!BQ19="","",Spielbericht!BQ19)</f>
        <v/>
      </c>
      <c r="AA164" s="581"/>
      <c r="AB164" s="584" t="e">
        <f>Spielbericht!AN19</f>
        <v>#N/A</v>
      </c>
      <c r="AC164" s="585"/>
      <c r="AD164" s="585"/>
      <c r="AE164" s="585"/>
      <c r="AF164" s="585"/>
      <c r="AG164" s="585"/>
      <c r="AH164" s="585"/>
      <c r="AI164" s="585"/>
      <c r="AJ164" s="586"/>
      <c r="AK164" s="93"/>
      <c r="AM164" s="58" t="s">
        <v>29</v>
      </c>
      <c r="AQ164" s="4"/>
      <c r="AR164" s="4"/>
      <c r="AS164" s="4"/>
      <c r="AT164" s="4"/>
      <c r="AU164" s="4"/>
      <c r="AV164" s="4"/>
      <c r="AW164" s="4"/>
    </row>
    <row r="165" spans="1:49" ht="15.75" thickBot="1" x14ac:dyDescent="0.3">
      <c r="B165" t="s">
        <v>335</v>
      </c>
      <c r="E165" s="382"/>
      <c r="F165" s="382"/>
      <c r="G165" s="382"/>
      <c r="H165" s="382"/>
      <c r="I165" s="382"/>
      <c r="J165" s="382"/>
      <c r="K165" s="382"/>
      <c r="M165" s="587"/>
      <c r="N165" s="588"/>
      <c r="O165" s="588"/>
      <c r="P165" s="588"/>
      <c r="Q165" s="588"/>
      <c r="R165" s="588"/>
      <c r="S165" s="588"/>
      <c r="T165" s="588"/>
      <c r="U165" s="589"/>
      <c r="V165" s="96" t="s">
        <v>338</v>
      </c>
      <c r="W165" s="182" t="str">
        <f>IF(Spielbericht!BT19="","",Spielbericht!BT19)</f>
        <v/>
      </c>
      <c r="X165" s="182"/>
      <c r="Y165" s="109" t="s">
        <v>301</v>
      </c>
      <c r="Z165" s="182" t="str">
        <f>IF(Spielbericht!BW19="","",Spielbericht!BW19)</f>
        <v/>
      </c>
      <c r="AA165" s="590"/>
      <c r="AB165" s="587"/>
      <c r="AC165" s="588"/>
      <c r="AD165" s="588"/>
      <c r="AE165" s="588"/>
      <c r="AF165" s="588"/>
      <c r="AG165" s="588"/>
      <c r="AH165" s="588"/>
      <c r="AI165" s="588"/>
      <c r="AJ165" s="589"/>
    </row>
    <row r="166" spans="1:49" ht="15.75" thickBot="1" x14ac:dyDescent="0.3">
      <c r="B166" t="s">
        <v>33</v>
      </c>
      <c r="E166" s="582">
        <f ca="1">TODAY()</f>
        <v>42418</v>
      </c>
      <c r="F166" s="582"/>
      <c r="G166" s="582"/>
      <c r="H166" s="582"/>
      <c r="I166" s="582"/>
      <c r="J166" s="582"/>
      <c r="K166" s="582"/>
      <c r="M166" s="425">
        <f>M126</f>
        <v>0</v>
      </c>
      <c r="N166" s="426"/>
      <c r="O166" s="426"/>
      <c r="P166" s="426"/>
      <c r="Q166" s="426"/>
      <c r="R166" s="426"/>
      <c r="S166" s="426"/>
      <c r="T166" s="426"/>
      <c r="U166" s="427"/>
      <c r="V166" s="91" t="s">
        <v>339</v>
      </c>
      <c r="W166" s="573" t="str">
        <f>IF(Spielbericht!BZ19="","",Spielbericht!BZ19)</f>
        <v/>
      </c>
      <c r="X166" s="573"/>
      <c r="Y166" s="110" t="s">
        <v>301</v>
      </c>
      <c r="Z166" s="573" t="str">
        <f>IF(Spielbericht!CC19="","",Spielbericht!CC19)</f>
        <v/>
      </c>
      <c r="AA166" s="574"/>
      <c r="AB166" s="425">
        <f>AB126</f>
        <v>0</v>
      </c>
      <c r="AC166" s="426"/>
      <c r="AD166" s="426"/>
      <c r="AE166" s="426"/>
      <c r="AF166" s="426"/>
      <c r="AG166" s="426"/>
      <c r="AH166" s="426"/>
      <c r="AI166" s="426"/>
      <c r="AJ166" s="427"/>
      <c r="AK166" s="5"/>
      <c r="AL166" s="5"/>
      <c r="AM166" s="58" t="s">
        <v>332</v>
      </c>
      <c r="AN166" s="5"/>
      <c r="AO166" s="4"/>
      <c r="AP166" s="4"/>
      <c r="AQ166" s="4"/>
      <c r="AR166" s="4"/>
      <c r="AS166" s="58" t="s">
        <v>333</v>
      </c>
      <c r="AU166" s="4"/>
      <c r="AV166" s="4"/>
      <c r="AW166" s="4"/>
    </row>
    <row r="167" spans="1:49" ht="15" customHeight="1" thickBot="1" x14ac:dyDescent="0.3">
      <c r="A167" s="208"/>
      <c r="B167" s="208"/>
      <c r="C167" s="208"/>
      <c r="D167" s="208"/>
      <c r="E167" s="208"/>
      <c r="F167" s="208"/>
      <c r="G167" s="208"/>
      <c r="H167" s="208"/>
      <c r="I167" s="208"/>
      <c r="J167" s="208"/>
      <c r="K167" s="208"/>
      <c r="L167" s="208"/>
      <c r="M167" s="208"/>
      <c r="N167" s="208"/>
      <c r="O167" s="208"/>
      <c r="P167" s="208"/>
      <c r="Q167" s="208"/>
      <c r="R167" s="208"/>
      <c r="S167" s="208"/>
      <c r="T167" s="208"/>
      <c r="U167" s="208"/>
      <c r="V167" s="208"/>
      <c r="W167" s="208"/>
      <c r="X167" s="208"/>
      <c r="Z167" s="208"/>
      <c r="AA167" s="208"/>
      <c r="AB167" s="208"/>
      <c r="AC167" s="208"/>
      <c r="AD167" s="208"/>
      <c r="AE167" s="208"/>
      <c r="AF167" s="208"/>
      <c r="AG167" s="208"/>
      <c r="AH167" s="208"/>
      <c r="AI167" s="208"/>
      <c r="AJ167" s="208"/>
      <c r="AK167" s="208"/>
      <c r="AL167" s="208"/>
      <c r="AM167" s="208"/>
      <c r="AN167" s="208"/>
      <c r="AO167" s="208"/>
      <c r="AP167" s="208"/>
      <c r="AQ167" s="208"/>
      <c r="AR167" s="208"/>
      <c r="AS167" s="208"/>
      <c r="AT167" s="208"/>
      <c r="AU167" s="208"/>
      <c r="AV167" s="208"/>
      <c r="AW167" s="208"/>
    </row>
    <row r="168" spans="1:49" ht="15.75" customHeight="1" x14ac:dyDescent="0.25">
      <c r="A168" s="575" t="e">
        <f>M164</f>
        <v>#N/A</v>
      </c>
      <c r="B168" s="576"/>
      <c r="C168" s="576"/>
      <c r="D168" s="576"/>
      <c r="E168" s="576"/>
      <c r="F168" s="576"/>
      <c r="G168" s="576"/>
      <c r="H168" s="576"/>
      <c r="I168" s="576"/>
      <c r="J168" s="101"/>
      <c r="K168" s="89"/>
      <c r="L168" s="97"/>
      <c r="M168" s="97"/>
      <c r="N168" s="97"/>
      <c r="O168" s="97"/>
      <c r="P168" s="97"/>
      <c r="Q168" s="97"/>
      <c r="R168" s="97"/>
      <c r="S168" s="97"/>
      <c r="T168" s="97"/>
      <c r="U168" s="97"/>
      <c r="V168" s="97"/>
      <c r="W168" s="97"/>
      <c r="X168" s="97"/>
      <c r="Y168" s="97"/>
      <c r="Z168" s="97"/>
      <c r="AA168" s="97"/>
      <c r="AB168" s="97"/>
      <c r="AC168" s="97"/>
      <c r="AD168" s="97"/>
      <c r="AE168" s="97"/>
      <c r="AF168" s="97"/>
      <c r="AG168" s="97"/>
      <c r="AH168" s="97"/>
      <c r="AI168" s="97"/>
      <c r="AJ168" s="97"/>
      <c r="AK168" s="97"/>
      <c r="AL168" s="97"/>
      <c r="AM168" s="97"/>
      <c r="AN168" s="97"/>
      <c r="AO168" s="97"/>
      <c r="AP168" s="97"/>
      <c r="AQ168" s="97"/>
      <c r="AR168" s="97"/>
      <c r="AS168" s="97"/>
      <c r="AT168" s="98"/>
      <c r="AU168" s="579"/>
      <c r="AV168" s="580"/>
      <c r="AW168" s="581"/>
    </row>
    <row r="169" spans="1:49" ht="15.75" customHeight="1" thickBot="1" x14ac:dyDescent="0.3">
      <c r="A169" s="570"/>
      <c r="B169" s="571"/>
      <c r="C169" s="571"/>
      <c r="D169" s="571"/>
      <c r="E169" s="571"/>
      <c r="F169" s="571"/>
      <c r="G169" s="571"/>
      <c r="H169" s="571"/>
      <c r="I169" s="571"/>
      <c r="J169" s="102"/>
      <c r="K169" s="91"/>
      <c r="L169" s="99"/>
      <c r="M169" s="99"/>
      <c r="N169" s="99"/>
      <c r="O169" s="99"/>
      <c r="P169" s="99"/>
      <c r="Q169" s="99"/>
      <c r="R169" s="99"/>
      <c r="S169" s="99"/>
      <c r="T169" s="99"/>
      <c r="U169" s="99"/>
      <c r="V169" s="99"/>
      <c r="W169" s="99"/>
      <c r="X169" s="99"/>
      <c r="Y169" s="99"/>
      <c r="Z169" s="99"/>
      <c r="AA169" s="99"/>
      <c r="AB169" s="99"/>
      <c r="AC169" s="99"/>
      <c r="AD169" s="99"/>
      <c r="AE169" s="99"/>
      <c r="AF169" s="99"/>
      <c r="AG169" s="99"/>
      <c r="AH169" s="99"/>
      <c r="AI169" s="99"/>
      <c r="AJ169" s="99"/>
      <c r="AK169" s="99"/>
      <c r="AL169" s="99"/>
      <c r="AM169" s="99"/>
      <c r="AN169" s="99"/>
      <c r="AO169" s="99"/>
      <c r="AP169" s="99"/>
      <c r="AQ169" s="99"/>
      <c r="AR169" s="99"/>
      <c r="AS169" s="99"/>
      <c r="AT169" s="100"/>
      <c r="AU169" s="572"/>
      <c r="AV169" s="573"/>
      <c r="AW169" s="574"/>
    </row>
    <row r="170" spans="1:49" ht="15.75" customHeight="1" x14ac:dyDescent="0.25">
      <c r="A170" s="575" t="e">
        <f>AB164</f>
        <v>#N/A</v>
      </c>
      <c r="B170" s="576"/>
      <c r="C170" s="576"/>
      <c r="D170" s="576"/>
      <c r="E170" s="576"/>
      <c r="F170" s="576"/>
      <c r="G170" s="576"/>
      <c r="H170" s="576"/>
      <c r="I170" s="576"/>
      <c r="J170" s="101"/>
      <c r="K170" s="89"/>
      <c r="L170" s="97"/>
      <c r="M170" s="97"/>
      <c r="N170" s="97"/>
      <c r="O170" s="97"/>
      <c r="P170" s="97"/>
      <c r="Q170" s="97"/>
      <c r="R170" s="97"/>
      <c r="S170" s="97"/>
      <c r="T170" s="97"/>
      <c r="U170" s="97"/>
      <c r="V170" s="97"/>
      <c r="W170" s="97"/>
      <c r="X170" s="97"/>
      <c r="Y170" s="97"/>
      <c r="Z170" s="97"/>
      <c r="AA170" s="97"/>
      <c r="AB170" s="97"/>
      <c r="AC170" s="97"/>
      <c r="AD170" s="97"/>
      <c r="AE170" s="97"/>
      <c r="AF170" s="97"/>
      <c r="AG170" s="97"/>
      <c r="AH170" s="97"/>
      <c r="AI170" s="97"/>
      <c r="AJ170" s="97"/>
      <c r="AK170" s="97"/>
      <c r="AL170" s="97"/>
      <c r="AM170" s="97"/>
      <c r="AN170" s="97"/>
      <c r="AO170" s="97"/>
      <c r="AP170" s="97"/>
      <c r="AQ170" s="97"/>
      <c r="AR170" s="97"/>
      <c r="AS170" s="97"/>
      <c r="AT170" s="98"/>
      <c r="AU170" s="386"/>
      <c r="AV170" s="577"/>
      <c r="AW170" s="578"/>
    </row>
    <row r="171" spans="1:49" ht="15.75" customHeight="1" thickBot="1" x14ac:dyDescent="0.3">
      <c r="A171" s="570"/>
      <c r="B171" s="571"/>
      <c r="C171" s="571"/>
      <c r="D171" s="571"/>
      <c r="E171" s="571"/>
      <c r="F171" s="571"/>
      <c r="G171" s="571"/>
      <c r="H171" s="571"/>
      <c r="I171" s="571"/>
      <c r="J171" s="102"/>
      <c r="K171" s="91"/>
      <c r="L171" s="99"/>
      <c r="M171" s="99"/>
      <c r="N171" s="99"/>
      <c r="O171" s="99"/>
      <c r="P171" s="99"/>
      <c r="Q171" s="99"/>
      <c r="R171" s="99"/>
      <c r="S171" s="99"/>
      <c r="T171" s="99"/>
      <c r="U171" s="99"/>
      <c r="V171" s="99"/>
      <c r="W171" s="99"/>
      <c r="X171" s="99"/>
      <c r="Y171" s="99"/>
      <c r="Z171" s="99"/>
      <c r="AA171" s="99"/>
      <c r="AB171" s="99"/>
      <c r="AC171" s="99"/>
      <c r="AD171" s="99"/>
      <c r="AE171" s="99"/>
      <c r="AF171" s="99"/>
      <c r="AG171" s="99"/>
      <c r="AH171" s="99"/>
      <c r="AI171" s="99"/>
      <c r="AJ171" s="99"/>
      <c r="AK171" s="99"/>
      <c r="AL171" s="99"/>
      <c r="AM171" s="99"/>
      <c r="AN171" s="99"/>
      <c r="AO171" s="99"/>
      <c r="AP171" s="99"/>
      <c r="AQ171" s="99"/>
      <c r="AR171" s="99"/>
      <c r="AS171" s="99"/>
      <c r="AT171" s="100"/>
      <c r="AU171" s="572"/>
      <c r="AV171" s="573"/>
      <c r="AW171" s="574"/>
    </row>
    <row r="172" spans="1:49" ht="4.5" customHeight="1" thickBot="1" x14ac:dyDescent="0.3">
      <c r="A172" s="12"/>
      <c r="B172" s="12"/>
      <c r="C172" s="12"/>
      <c r="D172" s="12"/>
      <c r="E172" s="12"/>
      <c r="F172" s="12"/>
      <c r="G172" s="12"/>
      <c r="H172" s="12"/>
      <c r="I172" s="12"/>
      <c r="K172" s="5"/>
      <c r="L172" s="5"/>
    </row>
    <row r="173" spans="1:49" ht="15.75" customHeight="1" x14ac:dyDescent="0.25">
      <c r="A173" s="575" t="e">
        <f>A168</f>
        <v>#N/A</v>
      </c>
      <c r="B173" s="576"/>
      <c r="C173" s="576"/>
      <c r="D173" s="576"/>
      <c r="E173" s="576"/>
      <c r="F173" s="576"/>
      <c r="G173" s="576"/>
      <c r="H173" s="576"/>
      <c r="I173" s="576"/>
      <c r="J173" s="101"/>
      <c r="K173" s="89"/>
      <c r="L173" s="97"/>
      <c r="M173" s="97"/>
      <c r="N173" s="97"/>
      <c r="O173" s="97"/>
      <c r="P173" s="97"/>
      <c r="Q173" s="97"/>
      <c r="R173" s="97"/>
      <c r="S173" s="97"/>
      <c r="T173" s="97"/>
      <c r="U173" s="97"/>
      <c r="V173" s="97"/>
      <c r="W173" s="97"/>
      <c r="X173" s="97"/>
      <c r="Y173" s="97"/>
      <c r="Z173" s="97"/>
      <c r="AA173" s="97"/>
      <c r="AB173" s="97"/>
      <c r="AC173" s="97"/>
      <c r="AD173" s="97"/>
      <c r="AE173" s="97"/>
      <c r="AF173" s="97"/>
      <c r="AG173" s="97"/>
      <c r="AH173" s="97"/>
      <c r="AI173" s="97"/>
      <c r="AJ173" s="97"/>
      <c r="AK173" s="97"/>
      <c r="AL173" s="97"/>
      <c r="AM173" s="97"/>
      <c r="AN173" s="97"/>
      <c r="AO173" s="97"/>
      <c r="AP173" s="97"/>
      <c r="AQ173" s="97"/>
      <c r="AR173" s="97"/>
      <c r="AS173" s="97"/>
      <c r="AT173" s="98"/>
      <c r="AU173" s="579"/>
      <c r="AV173" s="580"/>
      <c r="AW173" s="581"/>
    </row>
    <row r="174" spans="1:49" ht="15.75" customHeight="1" thickBot="1" x14ac:dyDescent="0.3">
      <c r="A174" s="570"/>
      <c r="B174" s="571"/>
      <c r="C174" s="571"/>
      <c r="D174" s="571"/>
      <c r="E174" s="571"/>
      <c r="F174" s="571"/>
      <c r="G174" s="571"/>
      <c r="H174" s="571"/>
      <c r="I174" s="571"/>
      <c r="J174" s="102"/>
      <c r="K174" s="91"/>
      <c r="L174" s="99"/>
      <c r="M174" s="99"/>
      <c r="N174" s="99"/>
      <c r="O174" s="99"/>
      <c r="P174" s="99"/>
      <c r="Q174" s="99"/>
      <c r="R174" s="99"/>
      <c r="S174" s="99"/>
      <c r="T174" s="99"/>
      <c r="U174" s="99"/>
      <c r="V174" s="99"/>
      <c r="W174" s="99"/>
      <c r="X174" s="99"/>
      <c r="Y174" s="99"/>
      <c r="Z174" s="99"/>
      <c r="AA174" s="99"/>
      <c r="AB174" s="99"/>
      <c r="AC174" s="99"/>
      <c r="AD174" s="99"/>
      <c r="AE174" s="99"/>
      <c r="AF174" s="99"/>
      <c r="AG174" s="99"/>
      <c r="AH174" s="99"/>
      <c r="AI174" s="99"/>
      <c r="AJ174" s="99"/>
      <c r="AK174" s="99"/>
      <c r="AL174" s="99"/>
      <c r="AM174" s="99"/>
      <c r="AN174" s="99"/>
      <c r="AO174" s="99"/>
      <c r="AP174" s="99"/>
      <c r="AQ174" s="99"/>
      <c r="AR174" s="99"/>
      <c r="AS174" s="99"/>
      <c r="AT174" s="100"/>
      <c r="AU174" s="572"/>
      <c r="AV174" s="573"/>
      <c r="AW174" s="574"/>
    </row>
    <row r="175" spans="1:49" ht="15.75" customHeight="1" x14ac:dyDescent="0.25">
      <c r="A175" s="575" t="e">
        <f>A170</f>
        <v>#N/A</v>
      </c>
      <c r="B175" s="576"/>
      <c r="C175" s="576"/>
      <c r="D175" s="576"/>
      <c r="E175" s="576"/>
      <c r="F175" s="576"/>
      <c r="G175" s="576"/>
      <c r="H175" s="576"/>
      <c r="I175" s="576"/>
      <c r="J175" s="101"/>
      <c r="K175" s="89"/>
      <c r="L175" s="97"/>
      <c r="M175" s="97"/>
      <c r="N175" s="97"/>
      <c r="O175" s="97"/>
      <c r="P175" s="97"/>
      <c r="Q175" s="97"/>
      <c r="R175" s="97"/>
      <c r="S175" s="97"/>
      <c r="T175" s="97"/>
      <c r="U175" s="97"/>
      <c r="V175" s="97"/>
      <c r="W175" s="97"/>
      <c r="X175" s="97"/>
      <c r="Y175" s="97"/>
      <c r="Z175" s="97"/>
      <c r="AA175" s="97"/>
      <c r="AB175" s="97"/>
      <c r="AC175" s="97"/>
      <c r="AD175" s="97"/>
      <c r="AE175" s="97"/>
      <c r="AF175" s="97"/>
      <c r="AG175" s="97"/>
      <c r="AH175" s="97"/>
      <c r="AI175" s="97"/>
      <c r="AJ175" s="97"/>
      <c r="AK175" s="97"/>
      <c r="AL175" s="97"/>
      <c r="AM175" s="97"/>
      <c r="AN175" s="97"/>
      <c r="AO175" s="97"/>
      <c r="AP175" s="97"/>
      <c r="AQ175" s="97"/>
      <c r="AR175" s="97"/>
      <c r="AS175" s="97"/>
      <c r="AT175" s="98"/>
      <c r="AU175" s="386"/>
      <c r="AV175" s="577"/>
      <c r="AW175" s="578"/>
    </row>
    <row r="176" spans="1:49" ht="15.75" customHeight="1" thickBot="1" x14ac:dyDescent="0.3">
      <c r="A176" s="570"/>
      <c r="B176" s="571"/>
      <c r="C176" s="571"/>
      <c r="D176" s="571"/>
      <c r="E176" s="571"/>
      <c r="F176" s="571"/>
      <c r="G176" s="571"/>
      <c r="H176" s="571"/>
      <c r="I176" s="571"/>
      <c r="J176" s="102"/>
      <c r="K176" s="91"/>
      <c r="L176" s="99"/>
      <c r="M176" s="99"/>
      <c r="N176" s="99"/>
      <c r="O176" s="99"/>
      <c r="P176" s="99"/>
      <c r="Q176" s="99"/>
      <c r="R176" s="99"/>
      <c r="S176" s="99"/>
      <c r="T176" s="99"/>
      <c r="U176" s="99"/>
      <c r="V176" s="99"/>
      <c r="W176" s="99"/>
      <c r="X176" s="99"/>
      <c r="Y176" s="99"/>
      <c r="Z176" s="99"/>
      <c r="AA176" s="99"/>
      <c r="AB176" s="99"/>
      <c r="AC176" s="99"/>
      <c r="AD176" s="99"/>
      <c r="AE176" s="99"/>
      <c r="AF176" s="99"/>
      <c r="AG176" s="99"/>
      <c r="AH176" s="99"/>
      <c r="AI176" s="99"/>
      <c r="AJ176" s="99"/>
      <c r="AK176" s="99"/>
      <c r="AL176" s="99"/>
      <c r="AM176" s="99"/>
      <c r="AN176" s="99"/>
      <c r="AO176" s="99"/>
      <c r="AP176" s="99"/>
      <c r="AQ176" s="99"/>
      <c r="AR176" s="99"/>
      <c r="AS176" s="99"/>
      <c r="AT176" s="100"/>
      <c r="AU176" s="572"/>
      <c r="AV176" s="573"/>
      <c r="AW176" s="574"/>
    </row>
    <row r="177" spans="1:49" ht="4.5" customHeight="1" thickBot="1" x14ac:dyDescent="0.3">
      <c r="A177" s="12"/>
      <c r="B177" s="12"/>
      <c r="C177" s="12"/>
      <c r="D177" s="12"/>
      <c r="E177" s="12"/>
      <c r="F177" s="12"/>
      <c r="G177" s="12"/>
      <c r="H177" s="12"/>
      <c r="I177" s="12"/>
    </row>
    <row r="178" spans="1:49" ht="15.75" customHeight="1" x14ac:dyDescent="0.25">
      <c r="A178" s="575" t="e">
        <f>A173</f>
        <v>#N/A</v>
      </c>
      <c r="B178" s="576"/>
      <c r="C178" s="576"/>
      <c r="D178" s="576"/>
      <c r="E178" s="576"/>
      <c r="F178" s="576"/>
      <c r="G178" s="576"/>
      <c r="H178" s="576"/>
      <c r="I178" s="576"/>
      <c r="J178" s="101"/>
      <c r="K178" s="89"/>
      <c r="L178" s="97"/>
      <c r="M178" s="97"/>
      <c r="N178" s="97"/>
      <c r="O178" s="97"/>
      <c r="P178" s="97"/>
      <c r="Q178" s="97"/>
      <c r="R178" s="97"/>
      <c r="S178" s="97"/>
      <c r="T178" s="97"/>
      <c r="U178" s="97"/>
      <c r="V178" s="97"/>
      <c r="W178" s="97"/>
      <c r="X178" s="97"/>
      <c r="Y178" s="97"/>
      <c r="Z178" s="97"/>
      <c r="AA178" s="97"/>
      <c r="AB178" s="97"/>
      <c r="AC178" s="97"/>
      <c r="AD178" s="97"/>
      <c r="AE178" s="97"/>
      <c r="AF178" s="97"/>
      <c r="AG178" s="97"/>
      <c r="AH178" s="97"/>
      <c r="AI178" s="97"/>
      <c r="AJ178" s="97"/>
      <c r="AK178" s="97"/>
      <c r="AL178" s="97"/>
      <c r="AM178" s="97"/>
      <c r="AN178" s="97"/>
      <c r="AO178" s="97"/>
      <c r="AP178" s="97"/>
      <c r="AQ178" s="97"/>
      <c r="AR178" s="97"/>
      <c r="AS178" s="97"/>
      <c r="AT178" s="98"/>
      <c r="AU178" s="579"/>
      <c r="AV178" s="580"/>
      <c r="AW178" s="581"/>
    </row>
    <row r="179" spans="1:49" ht="15.75" customHeight="1" thickBot="1" x14ac:dyDescent="0.3">
      <c r="A179" s="570"/>
      <c r="B179" s="571"/>
      <c r="C179" s="571"/>
      <c r="D179" s="571"/>
      <c r="E179" s="571"/>
      <c r="F179" s="571"/>
      <c r="G179" s="571"/>
      <c r="H179" s="571"/>
      <c r="I179" s="571"/>
      <c r="J179" s="102"/>
      <c r="K179" s="91"/>
      <c r="L179" s="99"/>
      <c r="M179" s="99"/>
      <c r="N179" s="99"/>
      <c r="O179" s="99"/>
      <c r="P179" s="99"/>
      <c r="Q179" s="99"/>
      <c r="R179" s="99"/>
      <c r="S179" s="99"/>
      <c r="T179" s="99"/>
      <c r="U179" s="99"/>
      <c r="V179" s="99"/>
      <c r="W179" s="99"/>
      <c r="X179" s="99"/>
      <c r="Y179" s="99"/>
      <c r="Z179" s="99"/>
      <c r="AA179" s="99"/>
      <c r="AB179" s="99"/>
      <c r="AC179" s="99"/>
      <c r="AD179" s="99"/>
      <c r="AE179" s="99"/>
      <c r="AF179" s="99"/>
      <c r="AG179" s="99"/>
      <c r="AH179" s="99"/>
      <c r="AI179" s="99"/>
      <c r="AJ179" s="99"/>
      <c r="AK179" s="99"/>
      <c r="AL179" s="99"/>
      <c r="AM179" s="99"/>
      <c r="AN179" s="99"/>
      <c r="AO179" s="99"/>
      <c r="AP179" s="99"/>
      <c r="AQ179" s="99"/>
      <c r="AR179" s="99"/>
      <c r="AS179" s="99"/>
      <c r="AT179" s="100"/>
      <c r="AU179" s="572"/>
      <c r="AV179" s="573"/>
      <c r="AW179" s="574"/>
    </row>
    <row r="180" spans="1:49" ht="15.75" customHeight="1" x14ac:dyDescent="0.25">
      <c r="A180" s="575" t="e">
        <f>A175</f>
        <v>#N/A</v>
      </c>
      <c r="B180" s="576"/>
      <c r="C180" s="576"/>
      <c r="D180" s="576"/>
      <c r="E180" s="576"/>
      <c r="F180" s="576"/>
      <c r="G180" s="576"/>
      <c r="H180" s="576"/>
      <c r="I180" s="576"/>
      <c r="J180" s="101"/>
      <c r="K180" s="89"/>
      <c r="L180" s="97"/>
      <c r="M180" s="97"/>
      <c r="N180" s="97"/>
      <c r="O180" s="97"/>
      <c r="P180" s="97"/>
      <c r="Q180" s="97"/>
      <c r="R180" s="97"/>
      <c r="S180" s="97"/>
      <c r="T180" s="97"/>
      <c r="U180" s="97"/>
      <c r="V180" s="97"/>
      <c r="W180" s="97"/>
      <c r="X180" s="97"/>
      <c r="Y180" s="97"/>
      <c r="Z180" s="97"/>
      <c r="AA180" s="97"/>
      <c r="AB180" s="97"/>
      <c r="AC180" s="97"/>
      <c r="AD180" s="97"/>
      <c r="AE180" s="97"/>
      <c r="AF180" s="97"/>
      <c r="AG180" s="97"/>
      <c r="AH180" s="97"/>
      <c r="AI180" s="97"/>
      <c r="AJ180" s="97"/>
      <c r="AK180" s="97"/>
      <c r="AL180" s="97"/>
      <c r="AM180" s="97"/>
      <c r="AN180" s="97"/>
      <c r="AO180" s="97"/>
      <c r="AP180" s="97"/>
      <c r="AQ180" s="97"/>
      <c r="AR180" s="97"/>
      <c r="AS180" s="97"/>
      <c r="AT180" s="98"/>
      <c r="AU180" s="386"/>
      <c r="AV180" s="577"/>
      <c r="AW180" s="578"/>
    </row>
    <row r="181" spans="1:49" ht="15.75" customHeight="1" thickBot="1" x14ac:dyDescent="0.3">
      <c r="A181" s="570"/>
      <c r="B181" s="571"/>
      <c r="C181" s="571"/>
      <c r="D181" s="571"/>
      <c r="E181" s="571"/>
      <c r="F181" s="571"/>
      <c r="G181" s="571"/>
      <c r="H181" s="571"/>
      <c r="I181" s="571"/>
      <c r="J181" s="102"/>
      <c r="K181" s="91"/>
      <c r="L181" s="99"/>
      <c r="M181" s="99"/>
      <c r="N181" s="99"/>
      <c r="O181" s="99"/>
      <c r="P181" s="99"/>
      <c r="Q181" s="99"/>
      <c r="R181" s="99"/>
      <c r="S181" s="99"/>
      <c r="T181" s="99"/>
      <c r="U181" s="99"/>
      <c r="V181" s="99"/>
      <c r="W181" s="99"/>
      <c r="X181" s="99"/>
      <c r="Y181" s="99"/>
      <c r="Z181" s="99"/>
      <c r="AA181" s="99"/>
      <c r="AB181" s="99"/>
      <c r="AC181" s="99"/>
      <c r="AD181" s="99"/>
      <c r="AE181" s="99"/>
      <c r="AF181" s="99"/>
      <c r="AG181" s="99"/>
      <c r="AH181" s="99"/>
      <c r="AI181" s="99"/>
      <c r="AJ181" s="99"/>
      <c r="AK181" s="99"/>
      <c r="AL181" s="99"/>
      <c r="AM181" s="99"/>
      <c r="AN181" s="99"/>
      <c r="AO181" s="99"/>
      <c r="AP181" s="99"/>
      <c r="AQ181" s="99"/>
      <c r="AR181" s="99"/>
      <c r="AS181" s="99"/>
      <c r="AT181" s="100"/>
      <c r="AU181" s="572"/>
      <c r="AV181" s="573"/>
      <c r="AW181" s="574"/>
    </row>
    <row r="182" spans="1:49" ht="4.5" customHeight="1" thickBot="1" x14ac:dyDescent="0.3">
      <c r="A182" s="12"/>
      <c r="B182" s="12"/>
      <c r="C182" s="12"/>
      <c r="D182" s="12"/>
      <c r="E182" s="12"/>
      <c r="F182" s="12"/>
      <c r="G182" s="12"/>
      <c r="H182" s="12"/>
      <c r="I182" s="12"/>
    </row>
    <row r="183" spans="1:49" ht="15.75" customHeight="1" x14ac:dyDescent="0.25">
      <c r="A183" s="575" t="e">
        <f>A178</f>
        <v>#N/A</v>
      </c>
      <c r="B183" s="576"/>
      <c r="C183" s="576"/>
      <c r="D183" s="576"/>
      <c r="E183" s="576"/>
      <c r="F183" s="576"/>
      <c r="G183" s="576"/>
      <c r="H183" s="576"/>
      <c r="I183" s="576"/>
      <c r="J183" s="101"/>
      <c r="K183" s="89"/>
      <c r="L183" s="97"/>
      <c r="M183" s="97"/>
      <c r="N183" s="97"/>
      <c r="O183" s="97"/>
      <c r="P183" s="97"/>
      <c r="Q183" s="97"/>
      <c r="R183" s="97"/>
      <c r="S183" s="97"/>
      <c r="T183" s="97"/>
      <c r="U183" s="97"/>
      <c r="V183" s="97"/>
      <c r="W183" s="97"/>
      <c r="X183" s="97"/>
      <c r="Y183" s="97"/>
      <c r="Z183" s="97"/>
      <c r="AA183" s="97"/>
      <c r="AB183" s="97"/>
      <c r="AC183" s="97"/>
      <c r="AD183" s="97"/>
      <c r="AE183" s="97"/>
      <c r="AF183" s="97"/>
      <c r="AG183" s="97"/>
      <c r="AH183" s="97"/>
      <c r="AI183" s="97"/>
      <c r="AJ183" s="97"/>
      <c r="AK183" s="97"/>
      <c r="AL183" s="97"/>
      <c r="AM183" s="97"/>
      <c r="AN183" s="97"/>
      <c r="AO183" s="97"/>
      <c r="AP183" s="97"/>
      <c r="AQ183" s="97"/>
      <c r="AR183" s="97"/>
      <c r="AS183" s="97"/>
      <c r="AT183" s="98"/>
      <c r="AU183" s="579"/>
      <c r="AV183" s="580"/>
      <c r="AW183" s="581"/>
    </row>
    <row r="184" spans="1:49" ht="15.75" customHeight="1" thickBot="1" x14ac:dyDescent="0.3">
      <c r="A184" s="570"/>
      <c r="B184" s="571"/>
      <c r="C184" s="571"/>
      <c r="D184" s="571"/>
      <c r="E184" s="571"/>
      <c r="F184" s="571"/>
      <c r="G184" s="571"/>
      <c r="H184" s="571"/>
      <c r="I184" s="571"/>
      <c r="J184" s="102"/>
      <c r="K184" s="91"/>
      <c r="L184" s="99"/>
      <c r="M184" s="99"/>
      <c r="N184" s="99"/>
      <c r="O184" s="99"/>
      <c r="P184" s="99"/>
      <c r="Q184" s="99"/>
      <c r="R184" s="99"/>
      <c r="S184" s="99"/>
      <c r="T184" s="99"/>
      <c r="U184" s="99"/>
      <c r="V184" s="99"/>
      <c r="W184" s="99"/>
      <c r="X184" s="99"/>
      <c r="Y184" s="99"/>
      <c r="Z184" s="99"/>
      <c r="AA184" s="99"/>
      <c r="AB184" s="99"/>
      <c r="AC184" s="99"/>
      <c r="AD184" s="99"/>
      <c r="AE184" s="99"/>
      <c r="AF184" s="99"/>
      <c r="AG184" s="99"/>
      <c r="AH184" s="99"/>
      <c r="AI184" s="99"/>
      <c r="AJ184" s="99"/>
      <c r="AK184" s="99"/>
      <c r="AL184" s="99"/>
      <c r="AM184" s="99"/>
      <c r="AN184" s="99"/>
      <c r="AO184" s="99"/>
      <c r="AP184" s="99"/>
      <c r="AQ184" s="99"/>
      <c r="AR184" s="99"/>
      <c r="AS184" s="99"/>
      <c r="AT184" s="100"/>
      <c r="AU184" s="572"/>
      <c r="AV184" s="573"/>
      <c r="AW184" s="574"/>
    </row>
    <row r="185" spans="1:49" ht="15.75" customHeight="1" x14ac:dyDescent="0.25">
      <c r="A185" s="575" t="e">
        <f>A180</f>
        <v>#N/A</v>
      </c>
      <c r="B185" s="576"/>
      <c r="C185" s="576"/>
      <c r="D185" s="576"/>
      <c r="E185" s="576"/>
      <c r="F185" s="576"/>
      <c r="G185" s="576"/>
      <c r="H185" s="576"/>
      <c r="I185" s="576"/>
      <c r="J185" s="101"/>
      <c r="K185" s="89"/>
      <c r="L185" s="97"/>
      <c r="M185" s="97"/>
      <c r="N185" s="97"/>
      <c r="O185" s="97"/>
      <c r="P185" s="97"/>
      <c r="Q185" s="97"/>
      <c r="R185" s="97"/>
      <c r="S185" s="97"/>
      <c r="T185" s="97"/>
      <c r="U185" s="97"/>
      <c r="V185" s="97"/>
      <c r="W185" s="97"/>
      <c r="X185" s="97"/>
      <c r="Y185" s="97"/>
      <c r="Z185" s="97"/>
      <c r="AA185" s="97"/>
      <c r="AB185" s="97"/>
      <c r="AC185" s="97"/>
      <c r="AD185" s="97"/>
      <c r="AE185" s="97"/>
      <c r="AF185" s="97"/>
      <c r="AG185" s="97"/>
      <c r="AH185" s="97"/>
      <c r="AI185" s="97"/>
      <c r="AJ185" s="97"/>
      <c r="AK185" s="97"/>
      <c r="AL185" s="97"/>
      <c r="AM185" s="97"/>
      <c r="AN185" s="97"/>
      <c r="AO185" s="97"/>
      <c r="AP185" s="97"/>
      <c r="AQ185" s="97"/>
      <c r="AR185" s="97"/>
      <c r="AS185" s="97"/>
      <c r="AT185" s="98"/>
      <c r="AU185" s="386"/>
      <c r="AV185" s="577"/>
      <c r="AW185" s="578"/>
    </row>
    <row r="186" spans="1:49" ht="15.75" customHeight="1" thickBot="1" x14ac:dyDescent="0.3">
      <c r="A186" s="570"/>
      <c r="B186" s="571"/>
      <c r="C186" s="571"/>
      <c r="D186" s="571"/>
      <c r="E186" s="571"/>
      <c r="F186" s="571"/>
      <c r="G186" s="571"/>
      <c r="H186" s="571"/>
      <c r="I186" s="571"/>
      <c r="J186" s="102"/>
      <c r="K186" s="91"/>
      <c r="L186" s="99"/>
      <c r="M186" s="99"/>
      <c r="N186" s="99"/>
      <c r="O186" s="99"/>
      <c r="P186" s="99"/>
      <c r="Q186" s="99"/>
      <c r="R186" s="99"/>
      <c r="S186" s="99"/>
      <c r="T186" s="99"/>
      <c r="U186" s="99"/>
      <c r="V186" s="99"/>
      <c r="W186" s="99"/>
      <c r="X186" s="99"/>
      <c r="Y186" s="99"/>
      <c r="Z186" s="99"/>
      <c r="AA186" s="99"/>
      <c r="AB186" s="99"/>
      <c r="AC186" s="99"/>
      <c r="AD186" s="99"/>
      <c r="AE186" s="99"/>
      <c r="AF186" s="99"/>
      <c r="AG186" s="99"/>
      <c r="AH186" s="99"/>
      <c r="AI186" s="99"/>
      <c r="AJ186" s="99"/>
      <c r="AK186" s="99"/>
      <c r="AL186" s="99"/>
      <c r="AM186" s="99"/>
      <c r="AN186" s="99"/>
      <c r="AO186" s="99"/>
      <c r="AP186" s="99"/>
      <c r="AQ186" s="99"/>
      <c r="AR186" s="99"/>
      <c r="AS186" s="99"/>
      <c r="AT186" s="100"/>
      <c r="AU186" s="572"/>
      <c r="AV186" s="573"/>
      <c r="AW186" s="574"/>
    </row>
    <row r="187" spans="1:49" ht="4.5" customHeight="1" thickBot="1" x14ac:dyDescent="0.3">
      <c r="A187" s="12"/>
      <c r="B187" s="12"/>
      <c r="C187" s="12"/>
      <c r="D187" s="12"/>
      <c r="E187" s="12"/>
      <c r="F187" s="12"/>
      <c r="G187" s="12"/>
      <c r="H187" s="12"/>
      <c r="I187" s="12"/>
    </row>
    <row r="188" spans="1:49" ht="15.75" customHeight="1" x14ac:dyDescent="0.25">
      <c r="A188" s="575" t="e">
        <f>A183</f>
        <v>#N/A</v>
      </c>
      <c r="B188" s="576"/>
      <c r="C188" s="576"/>
      <c r="D188" s="576"/>
      <c r="E188" s="576"/>
      <c r="F188" s="576"/>
      <c r="G188" s="576"/>
      <c r="H188" s="576"/>
      <c r="I188" s="576"/>
      <c r="J188" s="101"/>
      <c r="K188" s="89"/>
      <c r="L188" s="97"/>
      <c r="M188" s="97"/>
      <c r="N188" s="97"/>
      <c r="O188" s="97"/>
      <c r="P188" s="97"/>
      <c r="Q188" s="97"/>
      <c r="R188" s="97"/>
      <c r="S188" s="97"/>
      <c r="T188" s="97"/>
      <c r="U188" s="97"/>
      <c r="V188" s="97"/>
      <c r="W188" s="97"/>
      <c r="X188" s="97"/>
      <c r="Y188" s="97"/>
      <c r="Z188" s="97"/>
      <c r="AA188" s="97"/>
      <c r="AB188" s="97"/>
      <c r="AC188" s="97"/>
      <c r="AD188" s="97"/>
      <c r="AE188" s="97"/>
      <c r="AF188" s="97"/>
      <c r="AG188" s="97"/>
      <c r="AH188" s="97"/>
      <c r="AI188" s="97"/>
      <c r="AJ188" s="97"/>
      <c r="AK188" s="97"/>
      <c r="AL188" s="97"/>
      <c r="AM188" s="97"/>
      <c r="AN188" s="97"/>
      <c r="AO188" s="97"/>
      <c r="AP188" s="97"/>
      <c r="AQ188" s="97"/>
      <c r="AR188" s="97"/>
      <c r="AS188" s="97"/>
      <c r="AT188" s="98"/>
      <c r="AU188" s="579"/>
      <c r="AV188" s="580"/>
      <c r="AW188" s="581"/>
    </row>
    <row r="189" spans="1:49" ht="15.75" customHeight="1" thickBot="1" x14ac:dyDescent="0.3">
      <c r="A189" s="570"/>
      <c r="B189" s="571"/>
      <c r="C189" s="571"/>
      <c r="D189" s="571"/>
      <c r="E189" s="571"/>
      <c r="F189" s="571"/>
      <c r="G189" s="571"/>
      <c r="H189" s="571"/>
      <c r="I189" s="571"/>
      <c r="J189" s="102"/>
      <c r="K189" s="91"/>
      <c r="L189" s="99"/>
      <c r="M189" s="99"/>
      <c r="N189" s="99"/>
      <c r="O189" s="99"/>
      <c r="P189" s="99"/>
      <c r="Q189" s="99"/>
      <c r="R189" s="99"/>
      <c r="S189" s="99"/>
      <c r="T189" s="99"/>
      <c r="U189" s="99"/>
      <c r="V189" s="99"/>
      <c r="W189" s="99"/>
      <c r="X189" s="99"/>
      <c r="Y189" s="99"/>
      <c r="Z189" s="99"/>
      <c r="AA189" s="99"/>
      <c r="AB189" s="99"/>
      <c r="AC189" s="99"/>
      <c r="AD189" s="99"/>
      <c r="AE189" s="99"/>
      <c r="AF189" s="99"/>
      <c r="AG189" s="99"/>
      <c r="AH189" s="99"/>
      <c r="AI189" s="99"/>
      <c r="AJ189" s="99"/>
      <c r="AK189" s="99"/>
      <c r="AL189" s="99"/>
      <c r="AM189" s="99"/>
      <c r="AN189" s="99"/>
      <c r="AO189" s="99"/>
      <c r="AP189" s="99"/>
      <c r="AQ189" s="99"/>
      <c r="AR189" s="99"/>
      <c r="AS189" s="99"/>
      <c r="AT189" s="100"/>
      <c r="AU189" s="572"/>
      <c r="AV189" s="573"/>
      <c r="AW189" s="574"/>
    </row>
    <row r="190" spans="1:49" ht="15.75" customHeight="1" x14ac:dyDescent="0.25">
      <c r="A190" s="575" t="e">
        <f>A185</f>
        <v>#N/A</v>
      </c>
      <c r="B190" s="576"/>
      <c r="C190" s="576"/>
      <c r="D190" s="576"/>
      <c r="E190" s="576"/>
      <c r="F190" s="576"/>
      <c r="G190" s="576"/>
      <c r="H190" s="576"/>
      <c r="I190" s="576"/>
      <c r="J190" s="101"/>
      <c r="K190" s="89"/>
      <c r="L190" s="97"/>
      <c r="M190" s="97"/>
      <c r="N190" s="97"/>
      <c r="O190" s="97"/>
      <c r="P190" s="97"/>
      <c r="Q190" s="97"/>
      <c r="R190" s="97"/>
      <c r="S190" s="97"/>
      <c r="T190" s="97"/>
      <c r="U190" s="97"/>
      <c r="V190" s="97"/>
      <c r="W190" s="97"/>
      <c r="X190" s="97"/>
      <c r="Y190" s="97"/>
      <c r="Z190" s="97"/>
      <c r="AA190" s="97"/>
      <c r="AB190" s="97"/>
      <c r="AC190" s="97"/>
      <c r="AD190" s="97"/>
      <c r="AE190" s="97"/>
      <c r="AF190" s="97"/>
      <c r="AG190" s="97"/>
      <c r="AH190" s="97"/>
      <c r="AI190" s="97"/>
      <c r="AJ190" s="97"/>
      <c r="AK190" s="97"/>
      <c r="AL190" s="97"/>
      <c r="AM190" s="97"/>
      <c r="AN190" s="97"/>
      <c r="AO190" s="97"/>
      <c r="AP190" s="97"/>
      <c r="AQ190" s="97"/>
      <c r="AR190" s="97"/>
      <c r="AS190" s="97"/>
      <c r="AT190" s="98"/>
      <c r="AU190" s="386"/>
      <c r="AV190" s="577"/>
      <c r="AW190" s="578"/>
    </row>
    <row r="191" spans="1:49" ht="15.75" customHeight="1" thickBot="1" x14ac:dyDescent="0.3">
      <c r="A191" s="570"/>
      <c r="B191" s="571"/>
      <c r="C191" s="571"/>
      <c r="D191" s="571"/>
      <c r="E191" s="571"/>
      <c r="F191" s="571"/>
      <c r="G191" s="571"/>
      <c r="H191" s="571"/>
      <c r="I191" s="571"/>
      <c r="J191" s="102"/>
      <c r="K191" s="91"/>
      <c r="L191" s="99"/>
      <c r="M191" s="99"/>
      <c r="N191" s="99"/>
      <c r="O191" s="99"/>
      <c r="P191" s="99"/>
      <c r="Q191" s="99"/>
      <c r="R191" s="99"/>
      <c r="S191" s="99"/>
      <c r="T191" s="99"/>
      <c r="U191" s="99"/>
      <c r="V191" s="99"/>
      <c r="W191" s="99"/>
      <c r="X191" s="99"/>
      <c r="Y191" s="99"/>
      <c r="Z191" s="99"/>
      <c r="AA191" s="99"/>
      <c r="AB191" s="99"/>
      <c r="AC191" s="99"/>
      <c r="AD191" s="99"/>
      <c r="AE191" s="99"/>
      <c r="AF191" s="99"/>
      <c r="AG191" s="99"/>
      <c r="AH191" s="99"/>
      <c r="AI191" s="99"/>
      <c r="AJ191" s="99"/>
      <c r="AK191" s="99"/>
      <c r="AL191" s="99"/>
      <c r="AM191" s="99"/>
      <c r="AN191" s="99"/>
      <c r="AO191" s="99"/>
      <c r="AP191" s="99"/>
      <c r="AQ191" s="99"/>
      <c r="AR191" s="99"/>
      <c r="AS191" s="99"/>
      <c r="AT191" s="100"/>
      <c r="AU191" s="572"/>
      <c r="AV191" s="573"/>
      <c r="AW191" s="574"/>
    </row>
    <row r="192" spans="1:49" ht="4.5" customHeight="1" thickBot="1" x14ac:dyDescent="0.3">
      <c r="A192" s="12"/>
      <c r="B192" s="12"/>
      <c r="C192" s="12"/>
      <c r="D192" s="12"/>
      <c r="E192" s="12"/>
      <c r="F192" s="12"/>
      <c r="G192" s="12"/>
      <c r="H192" s="12"/>
      <c r="I192" s="12"/>
    </row>
    <row r="193" spans="1:49" ht="15.75" customHeight="1" x14ac:dyDescent="0.25">
      <c r="A193" s="575" t="e">
        <f>A188</f>
        <v>#N/A</v>
      </c>
      <c r="B193" s="576"/>
      <c r="C193" s="576"/>
      <c r="D193" s="576"/>
      <c r="E193" s="576"/>
      <c r="F193" s="576"/>
      <c r="G193" s="576"/>
      <c r="H193" s="576"/>
      <c r="I193" s="576"/>
      <c r="J193" s="101"/>
      <c r="K193" s="89"/>
      <c r="L193" s="97"/>
      <c r="M193" s="97"/>
      <c r="N193" s="97"/>
      <c r="O193" s="97"/>
      <c r="P193" s="97"/>
      <c r="Q193" s="97"/>
      <c r="R193" s="97"/>
      <c r="S193" s="97"/>
      <c r="T193" s="97"/>
      <c r="U193" s="97"/>
      <c r="V193" s="97"/>
      <c r="W193" s="97"/>
      <c r="X193" s="97"/>
      <c r="Y193" s="97"/>
      <c r="Z193" s="97"/>
      <c r="AA193" s="97"/>
      <c r="AB193" s="97"/>
      <c r="AC193" s="97"/>
      <c r="AD193" s="97"/>
      <c r="AE193" s="97"/>
      <c r="AF193" s="97"/>
      <c r="AG193" s="97"/>
      <c r="AH193" s="97"/>
      <c r="AI193" s="97"/>
      <c r="AJ193" s="97"/>
      <c r="AK193" s="97"/>
      <c r="AL193" s="97"/>
      <c r="AM193" s="97"/>
      <c r="AN193" s="97"/>
      <c r="AO193" s="97"/>
      <c r="AP193" s="97"/>
      <c r="AQ193" s="97"/>
      <c r="AR193" s="97"/>
      <c r="AS193" s="97"/>
      <c r="AT193" s="98"/>
      <c r="AU193" s="579"/>
      <c r="AV193" s="580"/>
      <c r="AW193" s="581"/>
    </row>
    <row r="194" spans="1:49" ht="15.75" customHeight="1" thickBot="1" x14ac:dyDescent="0.3">
      <c r="A194" s="570"/>
      <c r="B194" s="571"/>
      <c r="C194" s="571"/>
      <c r="D194" s="571"/>
      <c r="E194" s="571"/>
      <c r="F194" s="571"/>
      <c r="G194" s="571"/>
      <c r="H194" s="571"/>
      <c r="I194" s="571"/>
      <c r="J194" s="102"/>
      <c r="K194" s="91"/>
      <c r="L194" s="99"/>
      <c r="M194" s="99"/>
      <c r="N194" s="99"/>
      <c r="O194" s="99"/>
      <c r="P194" s="99"/>
      <c r="Q194" s="99"/>
      <c r="R194" s="99"/>
      <c r="S194" s="99"/>
      <c r="T194" s="99"/>
      <c r="U194" s="99"/>
      <c r="V194" s="99"/>
      <c r="W194" s="99"/>
      <c r="X194" s="99"/>
      <c r="Y194" s="99"/>
      <c r="Z194" s="99"/>
      <c r="AA194" s="99"/>
      <c r="AB194" s="99"/>
      <c r="AC194" s="99"/>
      <c r="AD194" s="99"/>
      <c r="AE194" s="99"/>
      <c r="AF194" s="99"/>
      <c r="AG194" s="99"/>
      <c r="AH194" s="99"/>
      <c r="AI194" s="99"/>
      <c r="AJ194" s="99"/>
      <c r="AK194" s="99"/>
      <c r="AL194" s="99"/>
      <c r="AM194" s="99"/>
      <c r="AN194" s="99"/>
      <c r="AO194" s="99"/>
      <c r="AP194" s="99"/>
      <c r="AQ194" s="99"/>
      <c r="AR194" s="99"/>
      <c r="AS194" s="99"/>
      <c r="AT194" s="100"/>
      <c r="AU194" s="572"/>
      <c r="AV194" s="573"/>
      <c r="AW194" s="574"/>
    </row>
    <row r="195" spans="1:49" ht="15.75" customHeight="1" x14ac:dyDescent="0.25">
      <c r="A195" s="575" t="e">
        <f>A190</f>
        <v>#N/A</v>
      </c>
      <c r="B195" s="576"/>
      <c r="C195" s="576"/>
      <c r="D195" s="576"/>
      <c r="E195" s="576"/>
      <c r="F195" s="576"/>
      <c r="G195" s="576"/>
      <c r="H195" s="576"/>
      <c r="I195" s="576"/>
      <c r="J195" s="101"/>
      <c r="K195" s="89"/>
      <c r="L195" s="97"/>
      <c r="M195" s="97"/>
      <c r="N195" s="97"/>
      <c r="O195" s="97"/>
      <c r="P195" s="97"/>
      <c r="Q195" s="97"/>
      <c r="R195" s="97"/>
      <c r="S195" s="97"/>
      <c r="T195" s="97"/>
      <c r="U195" s="97"/>
      <c r="V195" s="97"/>
      <c r="W195" s="97"/>
      <c r="X195" s="97"/>
      <c r="Y195" s="97"/>
      <c r="Z195" s="97"/>
      <c r="AA195" s="97"/>
      <c r="AB195" s="97"/>
      <c r="AC195" s="97"/>
      <c r="AD195" s="97"/>
      <c r="AE195" s="97"/>
      <c r="AF195" s="97"/>
      <c r="AG195" s="97"/>
      <c r="AH195" s="97"/>
      <c r="AI195" s="97"/>
      <c r="AJ195" s="97"/>
      <c r="AK195" s="97"/>
      <c r="AL195" s="97"/>
      <c r="AM195" s="97"/>
      <c r="AN195" s="97"/>
      <c r="AO195" s="97"/>
      <c r="AP195" s="97"/>
      <c r="AQ195" s="97"/>
      <c r="AR195" s="97"/>
      <c r="AS195" s="97"/>
      <c r="AT195" s="98"/>
      <c r="AU195" s="386"/>
      <c r="AV195" s="577"/>
      <c r="AW195" s="578"/>
    </row>
    <row r="196" spans="1:49" ht="15.75" customHeight="1" thickBot="1" x14ac:dyDescent="0.3">
      <c r="A196" s="570"/>
      <c r="B196" s="571"/>
      <c r="C196" s="571"/>
      <c r="D196" s="571"/>
      <c r="E196" s="571"/>
      <c r="F196" s="571"/>
      <c r="G196" s="571"/>
      <c r="H196" s="571"/>
      <c r="I196" s="571"/>
      <c r="J196" s="102"/>
      <c r="K196" s="91"/>
      <c r="L196" s="99"/>
      <c r="M196" s="99"/>
      <c r="N196" s="99"/>
      <c r="O196" s="99"/>
      <c r="P196" s="99"/>
      <c r="Q196" s="99"/>
      <c r="R196" s="99"/>
      <c r="S196" s="99"/>
      <c r="T196" s="99"/>
      <c r="U196" s="99"/>
      <c r="V196" s="99"/>
      <c r="W196" s="99"/>
      <c r="X196" s="99"/>
      <c r="Y196" s="99"/>
      <c r="Z196" s="99"/>
      <c r="AA196" s="99"/>
      <c r="AB196" s="99"/>
      <c r="AC196" s="99"/>
      <c r="AD196" s="99"/>
      <c r="AE196" s="99"/>
      <c r="AF196" s="99"/>
      <c r="AG196" s="99"/>
      <c r="AH196" s="99"/>
      <c r="AI196" s="99"/>
      <c r="AJ196" s="99"/>
      <c r="AK196" s="99"/>
      <c r="AL196" s="99"/>
      <c r="AM196" s="99"/>
      <c r="AN196" s="99"/>
      <c r="AO196" s="99"/>
      <c r="AP196" s="99"/>
      <c r="AQ196" s="99"/>
      <c r="AR196" s="99"/>
      <c r="AS196" s="99"/>
      <c r="AT196" s="100"/>
      <c r="AU196" s="572"/>
      <c r="AV196" s="573"/>
      <c r="AW196" s="574"/>
    </row>
    <row r="197" spans="1:49" ht="4.5" customHeight="1" x14ac:dyDescent="0.25"/>
    <row r="200" spans="1:49" x14ac:dyDescent="0.25">
      <c r="M200" t="s">
        <v>340</v>
      </c>
      <c r="R200" s="103"/>
      <c r="S200" s="103"/>
      <c r="T200" s="103"/>
      <c r="U200" s="103"/>
      <c r="V200" s="103"/>
      <c r="W200" s="103"/>
      <c r="X200" s="103"/>
      <c r="Y200" s="103"/>
      <c r="Z200" s="103"/>
      <c r="AA200" s="103"/>
      <c r="AB200" s="103"/>
      <c r="AC200" s="103"/>
      <c r="AD200" s="103"/>
      <c r="AF200" t="s">
        <v>284</v>
      </c>
      <c r="AK200" s="103"/>
      <c r="AL200" s="103"/>
      <c r="AM200" s="103"/>
      <c r="AN200" s="103"/>
      <c r="AO200" s="103"/>
      <c r="AP200" s="103"/>
      <c r="AQ200" s="103"/>
      <c r="AR200" s="103"/>
      <c r="AS200" s="103"/>
      <c r="AT200" s="103"/>
      <c r="AU200" s="103"/>
      <c r="AV200" s="103"/>
      <c r="AW200" s="103"/>
    </row>
    <row r="201" spans="1:49" x14ac:dyDescent="0.25">
      <c r="A201" s="591" t="s">
        <v>208</v>
      </c>
      <c r="B201" s="591"/>
      <c r="C201" s="591"/>
      <c r="D201" s="591"/>
      <c r="E201" s="591"/>
      <c r="F201" s="591"/>
      <c r="G201" s="591"/>
      <c r="H201" s="591"/>
      <c r="I201" s="591"/>
      <c r="J201" s="591"/>
      <c r="K201" s="591"/>
      <c r="L201" s="591"/>
      <c r="M201" s="591"/>
      <c r="N201" s="591"/>
      <c r="O201" s="591"/>
      <c r="P201" s="591"/>
      <c r="Q201" s="591"/>
      <c r="R201" s="591"/>
      <c r="S201" s="591"/>
      <c r="T201" s="591"/>
      <c r="U201" s="591"/>
      <c r="V201" s="591"/>
      <c r="W201" s="591"/>
      <c r="X201" s="591"/>
      <c r="Y201" s="591"/>
      <c r="Z201" s="591"/>
      <c r="AA201" s="591"/>
      <c r="AB201" s="591"/>
      <c r="AC201" s="591"/>
      <c r="AD201" s="591"/>
      <c r="AE201" s="591"/>
      <c r="AF201" s="591"/>
      <c r="AG201" s="591"/>
      <c r="AH201" s="591"/>
      <c r="AI201" s="591"/>
      <c r="AJ201" s="591"/>
      <c r="AK201" s="591"/>
      <c r="AL201" s="591"/>
      <c r="AM201" s="591"/>
      <c r="AN201" s="591"/>
      <c r="AO201" s="591"/>
      <c r="AP201" s="591"/>
      <c r="AQ201" s="591"/>
      <c r="AR201" s="591"/>
      <c r="AS201" s="591"/>
      <c r="AT201" s="591"/>
      <c r="AU201" s="591"/>
      <c r="AV201" s="591"/>
      <c r="AW201" s="591"/>
    </row>
    <row r="202" spans="1:49" x14ac:dyDescent="0.25">
      <c r="A202" s="591"/>
      <c r="B202" s="591"/>
      <c r="C202" s="591"/>
      <c r="D202" s="591"/>
      <c r="E202" s="591"/>
      <c r="F202" s="591"/>
      <c r="G202" s="591"/>
      <c r="H202" s="591"/>
      <c r="I202" s="591"/>
      <c r="J202" s="591"/>
      <c r="K202" s="591"/>
      <c r="L202" s="591"/>
      <c r="M202" s="591"/>
      <c r="N202" s="591"/>
      <c r="O202" s="591"/>
      <c r="P202" s="591"/>
      <c r="Q202" s="591"/>
      <c r="R202" s="591"/>
      <c r="S202" s="591"/>
      <c r="T202" s="591"/>
      <c r="U202" s="591"/>
      <c r="V202" s="591"/>
      <c r="W202" s="591"/>
      <c r="X202" s="591"/>
      <c r="Y202" s="591"/>
      <c r="Z202" s="591"/>
      <c r="AA202" s="591"/>
      <c r="AB202" s="591"/>
      <c r="AC202" s="591"/>
      <c r="AD202" s="591"/>
      <c r="AE202" s="591"/>
      <c r="AF202" s="591"/>
      <c r="AG202" s="591"/>
      <c r="AH202" s="591"/>
      <c r="AI202" s="591"/>
      <c r="AJ202" s="591"/>
      <c r="AK202" s="591"/>
      <c r="AL202" s="591"/>
      <c r="AM202" s="591"/>
      <c r="AN202" s="591"/>
      <c r="AO202" s="591"/>
      <c r="AP202" s="591"/>
      <c r="AQ202" s="591"/>
      <c r="AR202" s="591"/>
      <c r="AS202" s="591"/>
      <c r="AT202" s="591"/>
      <c r="AU202" s="591"/>
      <c r="AV202" s="591"/>
      <c r="AW202" s="591"/>
    </row>
    <row r="203" spans="1:49" ht="15.75" thickBot="1" x14ac:dyDescent="0.3">
      <c r="B203" t="s">
        <v>331</v>
      </c>
      <c r="E203" s="583" t="str">
        <f>Spielbericht!D21</f>
        <v>MX</v>
      </c>
      <c r="F203" s="583"/>
      <c r="G203" s="583"/>
      <c r="H203" s="583"/>
      <c r="I203" s="208">
        <f>Spielbericht!A21</f>
        <v>0</v>
      </c>
      <c r="J203" s="208"/>
      <c r="K203" s="208"/>
      <c r="L203" s="592" t="s">
        <v>334</v>
      </c>
      <c r="M203" s="592"/>
      <c r="N203" s="592"/>
      <c r="O203" s="592"/>
      <c r="P203" s="592"/>
      <c r="Q203" s="592"/>
      <c r="R203" s="592"/>
      <c r="S203" s="592"/>
      <c r="T203" s="592"/>
      <c r="U203" s="592"/>
      <c r="V203" s="592"/>
      <c r="W203" s="592"/>
      <c r="X203" s="592"/>
      <c r="Y203" s="592"/>
      <c r="Z203" s="592"/>
      <c r="AA203" s="592"/>
      <c r="AB203" s="592"/>
      <c r="AC203" s="592"/>
      <c r="AD203" s="592"/>
      <c r="AE203" s="592"/>
      <c r="AF203" s="592"/>
      <c r="AG203" s="592"/>
      <c r="AH203" s="592"/>
      <c r="AI203" s="592"/>
      <c r="AJ203" s="592"/>
      <c r="AK203" s="592"/>
      <c r="AL203" s="592"/>
    </row>
    <row r="204" spans="1:49" ht="15.75" thickBot="1" x14ac:dyDescent="0.3">
      <c r="B204" t="s">
        <v>336</v>
      </c>
      <c r="E204" s="583">
        <f ca="1">E166</f>
        <v>42418</v>
      </c>
      <c r="F204" s="208"/>
      <c r="G204" s="208"/>
      <c r="H204" s="208"/>
      <c r="I204" s="208"/>
      <c r="J204" s="208"/>
      <c r="K204" s="208"/>
      <c r="L204" s="94"/>
      <c r="M204" s="584" t="e">
        <f>Spielbericht!K21</f>
        <v>#N/A</v>
      </c>
      <c r="N204" s="585"/>
      <c r="O204" s="585"/>
      <c r="P204" s="585"/>
      <c r="Q204" s="585"/>
      <c r="R204" s="585"/>
      <c r="S204" s="585"/>
      <c r="T204" s="585"/>
      <c r="U204" s="586"/>
      <c r="V204" s="95" t="s">
        <v>337</v>
      </c>
      <c r="W204" s="580" t="str">
        <f>IF(Spielbericht!BN21="","",Spielbericht!BN21)</f>
        <v/>
      </c>
      <c r="X204" s="580"/>
      <c r="Y204" s="111" t="s">
        <v>301</v>
      </c>
      <c r="Z204" s="580" t="str">
        <f>IF(Spielbericht!BQ21="","",Spielbericht!BQ21)</f>
        <v/>
      </c>
      <c r="AA204" s="581"/>
      <c r="AB204" s="584" t="e">
        <f>Spielbericht!AN21</f>
        <v>#N/A</v>
      </c>
      <c r="AC204" s="585"/>
      <c r="AD204" s="585"/>
      <c r="AE204" s="585"/>
      <c r="AF204" s="585"/>
      <c r="AG204" s="585"/>
      <c r="AH204" s="585"/>
      <c r="AI204" s="585"/>
      <c r="AJ204" s="586"/>
      <c r="AK204" s="93"/>
      <c r="AM204" s="58" t="s">
        <v>29</v>
      </c>
      <c r="AQ204" s="4"/>
      <c r="AR204" s="4"/>
      <c r="AS204" s="4"/>
      <c r="AT204" s="4"/>
      <c r="AU204" s="4"/>
      <c r="AV204" s="4"/>
      <c r="AW204" s="4"/>
    </row>
    <row r="205" spans="1:49" ht="15.75" thickBot="1" x14ac:dyDescent="0.3">
      <c r="B205" t="s">
        <v>335</v>
      </c>
      <c r="E205" s="382"/>
      <c r="F205" s="382"/>
      <c r="G205" s="382"/>
      <c r="H205" s="382"/>
      <c r="I205" s="382"/>
      <c r="J205" s="382"/>
      <c r="K205" s="382"/>
      <c r="M205" s="587" t="e">
        <f>Spielbericht!K22</f>
        <v>#N/A</v>
      </c>
      <c r="N205" s="588"/>
      <c r="O205" s="588"/>
      <c r="P205" s="588"/>
      <c r="Q205" s="588"/>
      <c r="R205" s="588"/>
      <c r="S205" s="588"/>
      <c r="T205" s="588"/>
      <c r="U205" s="589"/>
      <c r="V205" s="96" t="s">
        <v>338</v>
      </c>
      <c r="W205" s="182" t="str">
        <f>IF(Spielbericht!BT21="","",Spielbericht!BT21)</f>
        <v/>
      </c>
      <c r="X205" s="182"/>
      <c r="Y205" s="109" t="s">
        <v>301</v>
      </c>
      <c r="Z205" s="182" t="str">
        <f>IF(Spielbericht!BW21="","",Spielbericht!BW21)</f>
        <v/>
      </c>
      <c r="AA205" s="590"/>
      <c r="AB205" s="587" t="e">
        <f>Spielbericht!AN22</f>
        <v>#N/A</v>
      </c>
      <c r="AC205" s="588"/>
      <c r="AD205" s="588"/>
      <c r="AE205" s="588"/>
      <c r="AF205" s="588"/>
      <c r="AG205" s="588"/>
      <c r="AH205" s="588"/>
      <c r="AI205" s="588"/>
      <c r="AJ205" s="589"/>
    </row>
    <row r="206" spans="1:49" ht="15.75" thickBot="1" x14ac:dyDescent="0.3">
      <c r="B206" t="s">
        <v>33</v>
      </c>
      <c r="E206" s="582">
        <f ca="1">TODAY()</f>
        <v>42418</v>
      </c>
      <c r="F206" s="582"/>
      <c r="G206" s="582"/>
      <c r="H206" s="582"/>
      <c r="I206" s="582"/>
      <c r="J206" s="582"/>
      <c r="K206" s="582"/>
      <c r="M206" s="425">
        <f>M166</f>
        <v>0</v>
      </c>
      <c r="N206" s="426"/>
      <c r="O206" s="426"/>
      <c r="P206" s="426"/>
      <c r="Q206" s="426"/>
      <c r="R206" s="426"/>
      <c r="S206" s="426"/>
      <c r="T206" s="426"/>
      <c r="U206" s="427"/>
      <c r="V206" s="91" t="s">
        <v>339</v>
      </c>
      <c r="W206" s="573" t="str">
        <f>IF(Spielbericht!BZ21="","",Spielbericht!BZ21)</f>
        <v/>
      </c>
      <c r="X206" s="573"/>
      <c r="Y206" s="110" t="s">
        <v>301</v>
      </c>
      <c r="Z206" s="573" t="str">
        <f>IF(Spielbericht!CC21="","",Spielbericht!CC21)</f>
        <v/>
      </c>
      <c r="AA206" s="574"/>
      <c r="AB206" s="425">
        <f>AB166</f>
        <v>0</v>
      </c>
      <c r="AC206" s="426"/>
      <c r="AD206" s="426"/>
      <c r="AE206" s="426"/>
      <c r="AF206" s="426"/>
      <c r="AG206" s="426"/>
      <c r="AH206" s="426"/>
      <c r="AI206" s="426"/>
      <c r="AJ206" s="427"/>
      <c r="AK206" s="5"/>
      <c r="AL206" s="5"/>
      <c r="AM206" s="58" t="s">
        <v>332</v>
      </c>
      <c r="AN206" s="5"/>
      <c r="AO206" s="4"/>
      <c r="AP206" s="4"/>
      <c r="AQ206" s="4"/>
      <c r="AR206" s="4"/>
      <c r="AS206" s="58" t="s">
        <v>333</v>
      </c>
      <c r="AU206" s="4"/>
      <c r="AV206" s="4"/>
      <c r="AW206" s="4"/>
    </row>
    <row r="207" spans="1:49" ht="15" customHeight="1" thickBot="1" x14ac:dyDescent="0.3">
      <c r="A207" s="208"/>
      <c r="B207" s="208"/>
      <c r="C207" s="208"/>
      <c r="D207" s="208"/>
      <c r="E207" s="208"/>
      <c r="F207" s="208"/>
      <c r="G207" s="208"/>
      <c r="H207" s="208"/>
      <c r="I207" s="208"/>
      <c r="J207" s="208"/>
      <c r="K207" s="208"/>
      <c r="L207" s="208"/>
      <c r="M207" s="208"/>
      <c r="N207" s="208"/>
      <c r="O207" s="208"/>
      <c r="P207" s="208"/>
      <c r="Q207" s="208"/>
      <c r="R207" s="208"/>
      <c r="S207" s="208"/>
      <c r="T207" s="208"/>
      <c r="U207" s="208"/>
      <c r="V207" s="208"/>
      <c r="W207" s="208"/>
      <c r="X207" s="208"/>
      <c r="Z207" s="208"/>
      <c r="AA207" s="208"/>
      <c r="AB207" s="208"/>
      <c r="AC207" s="208"/>
      <c r="AD207" s="208"/>
      <c r="AE207" s="208"/>
      <c r="AF207" s="208"/>
      <c r="AG207" s="208"/>
      <c r="AH207" s="208"/>
      <c r="AI207" s="208"/>
      <c r="AJ207" s="208"/>
      <c r="AK207" s="208"/>
      <c r="AL207" s="208"/>
      <c r="AM207" s="208"/>
      <c r="AN207" s="208"/>
      <c r="AO207" s="208"/>
      <c r="AP207" s="208"/>
      <c r="AQ207" s="208"/>
      <c r="AR207" s="208"/>
      <c r="AS207" s="208"/>
      <c r="AT207" s="208"/>
      <c r="AU207" s="208"/>
      <c r="AV207" s="208"/>
      <c r="AW207" s="208"/>
    </row>
    <row r="208" spans="1:49" ht="15.75" customHeight="1" x14ac:dyDescent="0.25">
      <c r="A208" s="575" t="e">
        <f>M204</f>
        <v>#N/A</v>
      </c>
      <c r="B208" s="576"/>
      <c r="C208" s="576"/>
      <c r="D208" s="576"/>
      <c r="E208" s="576"/>
      <c r="F208" s="576"/>
      <c r="G208" s="576"/>
      <c r="H208" s="576"/>
      <c r="I208" s="576"/>
      <c r="J208" s="101"/>
      <c r="K208" s="89"/>
      <c r="L208" s="97"/>
      <c r="M208" s="97"/>
      <c r="N208" s="97"/>
      <c r="O208" s="97"/>
      <c r="P208" s="97"/>
      <c r="Q208" s="97"/>
      <c r="R208" s="97"/>
      <c r="S208" s="97"/>
      <c r="T208" s="97"/>
      <c r="U208" s="97"/>
      <c r="V208" s="97"/>
      <c r="W208" s="97"/>
      <c r="X208" s="97"/>
      <c r="Y208" s="97"/>
      <c r="Z208" s="97"/>
      <c r="AA208" s="97"/>
      <c r="AB208" s="97"/>
      <c r="AC208" s="97"/>
      <c r="AD208" s="97"/>
      <c r="AE208" s="97"/>
      <c r="AF208" s="97"/>
      <c r="AG208" s="97"/>
      <c r="AH208" s="97"/>
      <c r="AI208" s="97"/>
      <c r="AJ208" s="97"/>
      <c r="AK208" s="97"/>
      <c r="AL208" s="97"/>
      <c r="AM208" s="97"/>
      <c r="AN208" s="97"/>
      <c r="AO208" s="97"/>
      <c r="AP208" s="97"/>
      <c r="AQ208" s="97"/>
      <c r="AR208" s="97"/>
      <c r="AS208" s="97"/>
      <c r="AT208" s="98"/>
      <c r="AU208" s="579"/>
      <c r="AV208" s="580"/>
      <c r="AW208" s="581"/>
    </row>
    <row r="209" spans="1:49" ht="15.75" customHeight="1" thickBot="1" x14ac:dyDescent="0.3">
      <c r="A209" s="570" t="e">
        <f>M205</f>
        <v>#N/A</v>
      </c>
      <c r="B209" s="571"/>
      <c r="C209" s="571"/>
      <c r="D209" s="571"/>
      <c r="E209" s="571"/>
      <c r="F209" s="571"/>
      <c r="G209" s="571"/>
      <c r="H209" s="571"/>
      <c r="I209" s="571"/>
      <c r="J209" s="102"/>
      <c r="K209" s="91"/>
      <c r="L209" s="99"/>
      <c r="M209" s="99"/>
      <c r="N209" s="99"/>
      <c r="O209" s="99"/>
      <c r="P209" s="99"/>
      <c r="Q209" s="99"/>
      <c r="R209" s="99"/>
      <c r="S209" s="99"/>
      <c r="T209" s="99"/>
      <c r="U209" s="99"/>
      <c r="V209" s="99"/>
      <c r="W209" s="99"/>
      <c r="X209" s="99"/>
      <c r="Y209" s="99"/>
      <c r="Z209" s="99"/>
      <c r="AA209" s="99"/>
      <c r="AB209" s="99"/>
      <c r="AC209" s="99"/>
      <c r="AD209" s="99"/>
      <c r="AE209" s="99"/>
      <c r="AF209" s="99"/>
      <c r="AG209" s="99"/>
      <c r="AH209" s="99"/>
      <c r="AI209" s="99"/>
      <c r="AJ209" s="99"/>
      <c r="AK209" s="99"/>
      <c r="AL209" s="99"/>
      <c r="AM209" s="99"/>
      <c r="AN209" s="99"/>
      <c r="AO209" s="99"/>
      <c r="AP209" s="99"/>
      <c r="AQ209" s="99"/>
      <c r="AR209" s="99"/>
      <c r="AS209" s="99"/>
      <c r="AT209" s="100"/>
      <c r="AU209" s="572"/>
      <c r="AV209" s="573"/>
      <c r="AW209" s="574"/>
    </row>
    <row r="210" spans="1:49" ht="15.75" customHeight="1" x14ac:dyDescent="0.25">
      <c r="A210" s="575" t="e">
        <f>AB204</f>
        <v>#N/A</v>
      </c>
      <c r="B210" s="576"/>
      <c r="C210" s="576"/>
      <c r="D210" s="576"/>
      <c r="E210" s="576"/>
      <c r="F210" s="576"/>
      <c r="G210" s="576"/>
      <c r="H210" s="576"/>
      <c r="I210" s="576"/>
      <c r="J210" s="101"/>
      <c r="K210" s="89"/>
      <c r="L210" s="97"/>
      <c r="M210" s="97"/>
      <c r="N210" s="97"/>
      <c r="O210" s="97"/>
      <c r="P210" s="97"/>
      <c r="Q210" s="97"/>
      <c r="R210" s="97"/>
      <c r="S210" s="97"/>
      <c r="T210" s="97"/>
      <c r="U210" s="97"/>
      <c r="V210" s="97"/>
      <c r="W210" s="97"/>
      <c r="X210" s="97"/>
      <c r="Y210" s="97"/>
      <c r="Z210" s="97"/>
      <c r="AA210" s="97"/>
      <c r="AB210" s="97"/>
      <c r="AC210" s="97"/>
      <c r="AD210" s="97"/>
      <c r="AE210" s="97"/>
      <c r="AF210" s="97"/>
      <c r="AG210" s="97"/>
      <c r="AH210" s="97"/>
      <c r="AI210" s="97"/>
      <c r="AJ210" s="97"/>
      <c r="AK210" s="97"/>
      <c r="AL210" s="97"/>
      <c r="AM210" s="97"/>
      <c r="AN210" s="97"/>
      <c r="AO210" s="97"/>
      <c r="AP210" s="97"/>
      <c r="AQ210" s="97"/>
      <c r="AR210" s="97"/>
      <c r="AS210" s="97"/>
      <c r="AT210" s="98"/>
      <c r="AU210" s="386"/>
      <c r="AV210" s="577"/>
      <c r="AW210" s="578"/>
    </row>
    <row r="211" spans="1:49" ht="15.75" customHeight="1" thickBot="1" x14ac:dyDescent="0.3">
      <c r="A211" s="570" t="e">
        <f>AB205</f>
        <v>#N/A</v>
      </c>
      <c r="B211" s="571"/>
      <c r="C211" s="571"/>
      <c r="D211" s="571"/>
      <c r="E211" s="571"/>
      <c r="F211" s="571"/>
      <c r="G211" s="571"/>
      <c r="H211" s="571"/>
      <c r="I211" s="571"/>
      <c r="J211" s="102"/>
      <c r="K211" s="91"/>
      <c r="L211" s="99"/>
      <c r="M211" s="99"/>
      <c r="N211" s="99"/>
      <c r="O211" s="99"/>
      <c r="P211" s="99"/>
      <c r="Q211" s="99"/>
      <c r="R211" s="99"/>
      <c r="S211" s="99"/>
      <c r="T211" s="99"/>
      <c r="U211" s="99"/>
      <c r="V211" s="99"/>
      <c r="W211" s="99"/>
      <c r="X211" s="99"/>
      <c r="Y211" s="99"/>
      <c r="Z211" s="99"/>
      <c r="AA211" s="99"/>
      <c r="AB211" s="99"/>
      <c r="AC211" s="99"/>
      <c r="AD211" s="99"/>
      <c r="AE211" s="99"/>
      <c r="AF211" s="99"/>
      <c r="AG211" s="99"/>
      <c r="AH211" s="99"/>
      <c r="AI211" s="99"/>
      <c r="AJ211" s="99"/>
      <c r="AK211" s="99"/>
      <c r="AL211" s="99"/>
      <c r="AM211" s="99"/>
      <c r="AN211" s="99"/>
      <c r="AO211" s="99"/>
      <c r="AP211" s="99"/>
      <c r="AQ211" s="99"/>
      <c r="AR211" s="99"/>
      <c r="AS211" s="99"/>
      <c r="AT211" s="100"/>
      <c r="AU211" s="572"/>
      <c r="AV211" s="573"/>
      <c r="AW211" s="574"/>
    </row>
    <row r="212" spans="1:49" ht="4.5" customHeight="1" thickBot="1" x14ac:dyDescent="0.3">
      <c r="A212" s="88"/>
      <c r="B212" s="88"/>
      <c r="C212" s="88"/>
      <c r="D212" s="88"/>
      <c r="E212" s="88"/>
      <c r="F212" s="88"/>
      <c r="G212" s="88"/>
      <c r="H212" s="88"/>
      <c r="I212" s="88"/>
      <c r="K212" s="5"/>
      <c r="L212" s="5"/>
    </row>
    <row r="213" spans="1:49" ht="15.75" customHeight="1" x14ac:dyDescent="0.25">
      <c r="A213" s="575" t="e">
        <f>A208</f>
        <v>#N/A</v>
      </c>
      <c r="B213" s="576"/>
      <c r="C213" s="576"/>
      <c r="D213" s="576"/>
      <c r="E213" s="576"/>
      <c r="F213" s="576"/>
      <c r="G213" s="576"/>
      <c r="H213" s="576"/>
      <c r="I213" s="576"/>
      <c r="J213" s="101"/>
      <c r="K213" s="89"/>
      <c r="L213" s="97"/>
      <c r="M213" s="97"/>
      <c r="N213" s="97"/>
      <c r="O213" s="97"/>
      <c r="P213" s="97"/>
      <c r="Q213" s="97"/>
      <c r="R213" s="97"/>
      <c r="S213" s="97"/>
      <c r="T213" s="97"/>
      <c r="U213" s="97"/>
      <c r="V213" s="97"/>
      <c r="W213" s="97"/>
      <c r="X213" s="97"/>
      <c r="Y213" s="97"/>
      <c r="Z213" s="97"/>
      <c r="AA213" s="97"/>
      <c r="AB213" s="97"/>
      <c r="AC213" s="97"/>
      <c r="AD213" s="97"/>
      <c r="AE213" s="97"/>
      <c r="AF213" s="97"/>
      <c r="AG213" s="97"/>
      <c r="AH213" s="97"/>
      <c r="AI213" s="97"/>
      <c r="AJ213" s="97"/>
      <c r="AK213" s="97"/>
      <c r="AL213" s="97"/>
      <c r="AM213" s="97"/>
      <c r="AN213" s="97"/>
      <c r="AO213" s="97"/>
      <c r="AP213" s="97"/>
      <c r="AQ213" s="97"/>
      <c r="AR213" s="97"/>
      <c r="AS213" s="97"/>
      <c r="AT213" s="98"/>
      <c r="AU213" s="579"/>
      <c r="AV213" s="580"/>
      <c r="AW213" s="581"/>
    </row>
    <row r="214" spans="1:49" ht="15.75" customHeight="1" thickBot="1" x14ac:dyDescent="0.3">
      <c r="A214" s="570" t="e">
        <f>A209</f>
        <v>#N/A</v>
      </c>
      <c r="B214" s="571"/>
      <c r="C214" s="571"/>
      <c r="D214" s="571"/>
      <c r="E214" s="571"/>
      <c r="F214" s="571"/>
      <c r="G214" s="571"/>
      <c r="H214" s="571"/>
      <c r="I214" s="571"/>
      <c r="J214" s="102"/>
      <c r="K214" s="91"/>
      <c r="L214" s="99"/>
      <c r="M214" s="99"/>
      <c r="N214" s="99"/>
      <c r="O214" s="99"/>
      <c r="P214" s="99"/>
      <c r="Q214" s="99"/>
      <c r="R214" s="99"/>
      <c r="S214" s="99"/>
      <c r="T214" s="99"/>
      <c r="U214" s="99"/>
      <c r="V214" s="99"/>
      <c r="W214" s="99"/>
      <c r="X214" s="99"/>
      <c r="Y214" s="99"/>
      <c r="Z214" s="99"/>
      <c r="AA214" s="99"/>
      <c r="AB214" s="99"/>
      <c r="AC214" s="99"/>
      <c r="AD214" s="99"/>
      <c r="AE214" s="99"/>
      <c r="AF214" s="99"/>
      <c r="AG214" s="99"/>
      <c r="AH214" s="99"/>
      <c r="AI214" s="99"/>
      <c r="AJ214" s="99"/>
      <c r="AK214" s="99"/>
      <c r="AL214" s="99"/>
      <c r="AM214" s="99"/>
      <c r="AN214" s="99"/>
      <c r="AO214" s="99"/>
      <c r="AP214" s="99"/>
      <c r="AQ214" s="99"/>
      <c r="AR214" s="99"/>
      <c r="AS214" s="99"/>
      <c r="AT214" s="100"/>
      <c r="AU214" s="572"/>
      <c r="AV214" s="573"/>
      <c r="AW214" s="574"/>
    </row>
    <row r="215" spans="1:49" ht="15.75" customHeight="1" x14ac:dyDescent="0.25">
      <c r="A215" s="575" t="e">
        <f>A210</f>
        <v>#N/A</v>
      </c>
      <c r="B215" s="576"/>
      <c r="C215" s="576"/>
      <c r="D215" s="576"/>
      <c r="E215" s="576"/>
      <c r="F215" s="576"/>
      <c r="G215" s="576"/>
      <c r="H215" s="576"/>
      <c r="I215" s="576"/>
      <c r="J215" s="101"/>
      <c r="K215" s="89"/>
      <c r="L215" s="97"/>
      <c r="M215" s="97"/>
      <c r="N215" s="97"/>
      <c r="O215" s="97"/>
      <c r="P215" s="97"/>
      <c r="Q215" s="97"/>
      <c r="R215" s="97"/>
      <c r="S215" s="97"/>
      <c r="T215" s="97"/>
      <c r="U215" s="97"/>
      <c r="V215" s="97"/>
      <c r="W215" s="97"/>
      <c r="X215" s="97"/>
      <c r="Y215" s="97"/>
      <c r="Z215" s="97"/>
      <c r="AA215" s="97"/>
      <c r="AB215" s="97"/>
      <c r="AC215" s="97"/>
      <c r="AD215" s="97"/>
      <c r="AE215" s="97"/>
      <c r="AF215" s="97"/>
      <c r="AG215" s="97"/>
      <c r="AH215" s="97"/>
      <c r="AI215" s="97"/>
      <c r="AJ215" s="97"/>
      <c r="AK215" s="97"/>
      <c r="AL215" s="97"/>
      <c r="AM215" s="97"/>
      <c r="AN215" s="97"/>
      <c r="AO215" s="97"/>
      <c r="AP215" s="97"/>
      <c r="AQ215" s="97"/>
      <c r="AR215" s="97"/>
      <c r="AS215" s="97"/>
      <c r="AT215" s="98"/>
      <c r="AU215" s="386"/>
      <c r="AV215" s="577"/>
      <c r="AW215" s="578"/>
    </row>
    <row r="216" spans="1:49" ht="15.75" customHeight="1" thickBot="1" x14ac:dyDescent="0.3">
      <c r="A216" s="570" t="e">
        <f>A211</f>
        <v>#N/A</v>
      </c>
      <c r="B216" s="571"/>
      <c r="C216" s="571"/>
      <c r="D216" s="571"/>
      <c r="E216" s="571"/>
      <c r="F216" s="571"/>
      <c r="G216" s="571"/>
      <c r="H216" s="571"/>
      <c r="I216" s="571"/>
      <c r="J216" s="102"/>
      <c r="K216" s="91"/>
      <c r="L216" s="99"/>
      <c r="M216" s="99"/>
      <c r="N216" s="99"/>
      <c r="O216" s="99"/>
      <c r="P216" s="99"/>
      <c r="Q216" s="99"/>
      <c r="R216" s="99"/>
      <c r="S216" s="99"/>
      <c r="T216" s="99"/>
      <c r="U216" s="99"/>
      <c r="V216" s="99"/>
      <c r="W216" s="99"/>
      <c r="X216" s="99"/>
      <c r="Y216" s="99"/>
      <c r="Z216" s="99"/>
      <c r="AA216" s="99"/>
      <c r="AB216" s="99"/>
      <c r="AC216" s="99"/>
      <c r="AD216" s="99"/>
      <c r="AE216" s="99"/>
      <c r="AF216" s="99"/>
      <c r="AG216" s="99"/>
      <c r="AH216" s="99"/>
      <c r="AI216" s="99"/>
      <c r="AJ216" s="99"/>
      <c r="AK216" s="99"/>
      <c r="AL216" s="99"/>
      <c r="AM216" s="99"/>
      <c r="AN216" s="99"/>
      <c r="AO216" s="99"/>
      <c r="AP216" s="99"/>
      <c r="AQ216" s="99"/>
      <c r="AR216" s="99"/>
      <c r="AS216" s="99"/>
      <c r="AT216" s="100"/>
      <c r="AU216" s="572"/>
      <c r="AV216" s="573"/>
      <c r="AW216" s="574"/>
    </row>
    <row r="217" spans="1:49" ht="4.5" customHeight="1" thickBot="1" x14ac:dyDescent="0.3">
      <c r="A217" s="88"/>
      <c r="B217" s="88"/>
      <c r="C217" s="88"/>
      <c r="D217" s="88"/>
      <c r="E217" s="88"/>
      <c r="F217" s="88"/>
      <c r="G217" s="88"/>
      <c r="H217" s="88"/>
      <c r="I217" s="88"/>
    </row>
    <row r="218" spans="1:49" ht="15.75" customHeight="1" x14ac:dyDescent="0.25">
      <c r="A218" s="575" t="e">
        <f>A213</f>
        <v>#N/A</v>
      </c>
      <c r="B218" s="576"/>
      <c r="C218" s="576"/>
      <c r="D218" s="576"/>
      <c r="E218" s="576"/>
      <c r="F218" s="576"/>
      <c r="G218" s="576"/>
      <c r="H218" s="576"/>
      <c r="I218" s="576"/>
      <c r="J218" s="101"/>
      <c r="K218" s="89"/>
      <c r="L218" s="97"/>
      <c r="M218" s="97"/>
      <c r="N218" s="97"/>
      <c r="O218" s="97"/>
      <c r="P218" s="97"/>
      <c r="Q218" s="97"/>
      <c r="R218" s="97"/>
      <c r="S218" s="97"/>
      <c r="T218" s="97"/>
      <c r="U218" s="97"/>
      <c r="V218" s="97"/>
      <c r="W218" s="97"/>
      <c r="X218" s="97"/>
      <c r="Y218" s="97"/>
      <c r="Z218" s="97"/>
      <c r="AA218" s="97"/>
      <c r="AB218" s="97"/>
      <c r="AC218" s="97"/>
      <c r="AD218" s="97"/>
      <c r="AE218" s="97"/>
      <c r="AF218" s="97"/>
      <c r="AG218" s="97"/>
      <c r="AH218" s="97"/>
      <c r="AI218" s="97"/>
      <c r="AJ218" s="97"/>
      <c r="AK218" s="97"/>
      <c r="AL218" s="97"/>
      <c r="AM218" s="97"/>
      <c r="AN218" s="97"/>
      <c r="AO218" s="97"/>
      <c r="AP218" s="97"/>
      <c r="AQ218" s="97"/>
      <c r="AR218" s="97"/>
      <c r="AS218" s="97"/>
      <c r="AT218" s="98"/>
      <c r="AU218" s="579"/>
      <c r="AV218" s="580"/>
      <c r="AW218" s="581"/>
    </row>
    <row r="219" spans="1:49" ht="15.75" customHeight="1" thickBot="1" x14ac:dyDescent="0.3">
      <c r="A219" s="570" t="e">
        <f>A214</f>
        <v>#N/A</v>
      </c>
      <c r="B219" s="571"/>
      <c r="C219" s="571"/>
      <c r="D219" s="571"/>
      <c r="E219" s="571"/>
      <c r="F219" s="571"/>
      <c r="G219" s="571"/>
      <c r="H219" s="571"/>
      <c r="I219" s="571"/>
      <c r="J219" s="102"/>
      <c r="K219" s="91"/>
      <c r="L219" s="99"/>
      <c r="M219" s="99"/>
      <c r="N219" s="99"/>
      <c r="O219" s="99"/>
      <c r="P219" s="99"/>
      <c r="Q219" s="99"/>
      <c r="R219" s="99"/>
      <c r="S219" s="99"/>
      <c r="T219" s="99"/>
      <c r="U219" s="99"/>
      <c r="V219" s="99"/>
      <c r="W219" s="99"/>
      <c r="X219" s="99"/>
      <c r="Y219" s="99"/>
      <c r="Z219" s="99"/>
      <c r="AA219" s="99"/>
      <c r="AB219" s="99"/>
      <c r="AC219" s="99"/>
      <c r="AD219" s="99"/>
      <c r="AE219" s="99"/>
      <c r="AF219" s="99"/>
      <c r="AG219" s="99"/>
      <c r="AH219" s="99"/>
      <c r="AI219" s="99"/>
      <c r="AJ219" s="99"/>
      <c r="AK219" s="99"/>
      <c r="AL219" s="99"/>
      <c r="AM219" s="99"/>
      <c r="AN219" s="99"/>
      <c r="AO219" s="99"/>
      <c r="AP219" s="99"/>
      <c r="AQ219" s="99"/>
      <c r="AR219" s="99"/>
      <c r="AS219" s="99"/>
      <c r="AT219" s="100"/>
      <c r="AU219" s="572"/>
      <c r="AV219" s="573"/>
      <c r="AW219" s="574"/>
    </row>
    <row r="220" spans="1:49" ht="15.75" customHeight="1" x14ac:dyDescent="0.25">
      <c r="A220" s="575" t="e">
        <f>A215</f>
        <v>#N/A</v>
      </c>
      <c r="B220" s="576"/>
      <c r="C220" s="576"/>
      <c r="D220" s="576"/>
      <c r="E220" s="576"/>
      <c r="F220" s="576"/>
      <c r="G220" s="576"/>
      <c r="H220" s="576"/>
      <c r="I220" s="576"/>
      <c r="J220" s="101"/>
      <c r="K220" s="89"/>
      <c r="L220" s="97"/>
      <c r="M220" s="97"/>
      <c r="N220" s="97"/>
      <c r="O220" s="97"/>
      <c r="P220" s="97"/>
      <c r="Q220" s="97"/>
      <c r="R220" s="97"/>
      <c r="S220" s="97"/>
      <c r="T220" s="97"/>
      <c r="U220" s="97"/>
      <c r="V220" s="97"/>
      <c r="W220" s="97"/>
      <c r="X220" s="97"/>
      <c r="Y220" s="97"/>
      <c r="Z220" s="97"/>
      <c r="AA220" s="97"/>
      <c r="AB220" s="97"/>
      <c r="AC220" s="97"/>
      <c r="AD220" s="97"/>
      <c r="AE220" s="97"/>
      <c r="AF220" s="97"/>
      <c r="AG220" s="97"/>
      <c r="AH220" s="97"/>
      <c r="AI220" s="97"/>
      <c r="AJ220" s="97"/>
      <c r="AK220" s="97"/>
      <c r="AL220" s="97"/>
      <c r="AM220" s="97"/>
      <c r="AN220" s="97"/>
      <c r="AO220" s="97"/>
      <c r="AP220" s="97"/>
      <c r="AQ220" s="97"/>
      <c r="AR220" s="97"/>
      <c r="AS220" s="97"/>
      <c r="AT220" s="98"/>
      <c r="AU220" s="386"/>
      <c r="AV220" s="577"/>
      <c r="AW220" s="578"/>
    </row>
    <row r="221" spans="1:49" ht="15.75" customHeight="1" thickBot="1" x14ac:dyDescent="0.3">
      <c r="A221" s="570" t="e">
        <f>A216</f>
        <v>#N/A</v>
      </c>
      <c r="B221" s="571"/>
      <c r="C221" s="571"/>
      <c r="D221" s="571"/>
      <c r="E221" s="571"/>
      <c r="F221" s="571"/>
      <c r="G221" s="571"/>
      <c r="H221" s="571"/>
      <c r="I221" s="571"/>
      <c r="J221" s="102"/>
      <c r="K221" s="91"/>
      <c r="L221" s="99"/>
      <c r="M221" s="99"/>
      <c r="N221" s="99"/>
      <c r="O221" s="99"/>
      <c r="P221" s="99"/>
      <c r="Q221" s="99"/>
      <c r="R221" s="99"/>
      <c r="S221" s="99"/>
      <c r="T221" s="99"/>
      <c r="U221" s="99"/>
      <c r="V221" s="99"/>
      <c r="W221" s="99"/>
      <c r="X221" s="99"/>
      <c r="Y221" s="99"/>
      <c r="Z221" s="99"/>
      <c r="AA221" s="99"/>
      <c r="AB221" s="99"/>
      <c r="AC221" s="99"/>
      <c r="AD221" s="99"/>
      <c r="AE221" s="99"/>
      <c r="AF221" s="99"/>
      <c r="AG221" s="99"/>
      <c r="AH221" s="99"/>
      <c r="AI221" s="99"/>
      <c r="AJ221" s="99"/>
      <c r="AK221" s="99"/>
      <c r="AL221" s="99"/>
      <c r="AM221" s="99"/>
      <c r="AN221" s="99"/>
      <c r="AO221" s="99"/>
      <c r="AP221" s="99"/>
      <c r="AQ221" s="99"/>
      <c r="AR221" s="99"/>
      <c r="AS221" s="99"/>
      <c r="AT221" s="100"/>
      <c r="AU221" s="572"/>
      <c r="AV221" s="573"/>
      <c r="AW221" s="574"/>
    </row>
    <row r="222" spans="1:49" ht="4.5" customHeight="1" thickBot="1" x14ac:dyDescent="0.3">
      <c r="A222" s="88"/>
      <c r="B222" s="88"/>
      <c r="C222" s="88"/>
      <c r="D222" s="88"/>
      <c r="E222" s="88"/>
      <c r="F222" s="88"/>
      <c r="G222" s="88"/>
      <c r="H222" s="88"/>
      <c r="I222" s="88"/>
    </row>
    <row r="223" spans="1:49" ht="15.75" customHeight="1" x14ac:dyDescent="0.25">
      <c r="A223" s="575" t="e">
        <f>A218</f>
        <v>#N/A</v>
      </c>
      <c r="B223" s="576"/>
      <c r="C223" s="576"/>
      <c r="D223" s="576"/>
      <c r="E223" s="576"/>
      <c r="F223" s="576"/>
      <c r="G223" s="576"/>
      <c r="H223" s="576"/>
      <c r="I223" s="576"/>
      <c r="J223" s="101"/>
      <c r="K223" s="89"/>
      <c r="L223" s="97"/>
      <c r="M223" s="97"/>
      <c r="N223" s="97"/>
      <c r="O223" s="97"/>
      <c r="P223" s="97"/>
      <c r="Q223" s="97"/>
      <c r="R223" s="97"/>
      <c r="S223" s="97"/>
      <c r="T223" s="97"/>
      <c r="U223" s="97"/>
      <c r="V223" s="97"/>
      <c r="W223" s="97"/>
      <c r="X223" s="97"/>
      <c r="Y223" s="97"/>
      <c r="Z223" s="97"/>
      <c r="AA223" s="97"/>
      <c r="AB223" s="97"/>
      <c r="AC223" s="97"/>
      <c r="AD223" s="97"/>
      <c r="AE223" s="97"/>
      <c r="AF223" s="97"/>
      <c r="AG223" s="97"/>
      <c r="AH223" s="97"/>
      <c r="AI223" s="97"/>
      <c r="AJ223" s="97"/>
      <c r="AK223" s="97"/>
      <c r="AL223" s="97"/>
      <c r="AM223" s="97"/>
      <c r="AN223" s="97"/>
      <c r="AO223" s="97"/>
      <c r="AP223" s="97"/>
      <c r="AQ223" s="97"/>
      <c r="AR223" s="97"/>
      <c r="AS223" s="97"/>
      <c r="AT223" s="98"/>
      <c r="AU223" s="579"/>
      <c r="AV223" s="580"/>
      <c r="AW223" s="581"/>
    </row>
    <row r="224" spans="1:49" ht="15.75" customHeight="1" thickBot="1" x14ac:dyDescent="0.3">
      <c r="A224" s="570" t="e">
        <f>A219</f>
        <v>#N/A</v>
      </c>
      <c r="B224" s="571"/>
      <c r="C224" s="571"/>
      <c r="D224" s="571"/>
      <c r="E224" s="571"/>
      <c r="F224" s="571"/>
      <c r="G224" s="571"/>
      <c r="H224" s="571"/>
      <c r="I224" s="571"/>
      <c r="J224" s="102"/>
      <c r="K224" s="91"/>
      <c r="L224" s="99"/>
      <c r="M224" s="99"/>
      <c r="N224" s="99"/>
      <c r="O224" s="99"/>
      <c r="P224" s="99"/>
      <c r="Q224" s="99"/>
      <c r="R224" s="99"/>
      <c r="S224" s="99"/>
      <c r="T224" s="99"/>
      <c r="U224" s="99"/>
      <c r="V224" s="99"/>
      <c r="W224" s="99"/>
      <c r="X224" s="99"/>
      <c r="Y224" s="99"/>
      <c r="Z224" s="99"/>
      <c r="AA224" s="99"/>
      <c r="AB224" s="99"/>
      <c r="AC224" s="99"/>
      <c r="AD224" s="99"/>
      <c r="AE224" s="99"/>
      <c r="AF224" s="99"/>
      <c r="AG224" s="99"/>
      <c r="AH224" s="99"/>
      <c r="AI224" s="99"/>
      <c r="AJ224" s="99"/>
      <c r="AK224" s="99"/>
      <c r="AL224" s="99"/>
      <c r="AM224" s="99"/>
      <c r="AN224" s="99"/>
      <c r="AO224" s="99"/>
      <c r="AP224" s="99"/>
      <c r="AQ224" s="99"/>
      <c r="AR224" s="99"/>
      <c r="AS224" s="99"/>
      <c r="AT224" s="100"/>
      <c r="AU224" s="572"/>
      <c r="AV224" s="573"/>
      <c r="AW224" s="574"/>
    </row>
    <row r="225" spans="1:49" ht="15.75" customHeight="1" x14ac:dyDescent="0.25">
      <c r="A225" s="575" t="e">
        <f>A220</f>
        <v>#N/A</v>
      </c>
      <c r="B225" s="576"/>
      <c r="C225" s="576"/>
      <c r="D225" s="576"/>
      <c r="E225" s="576"/>
      <c r="F225" s="576"/>
      <c r="G225" s="576"/>
      <c r="H225" s="576"/>
      <c r="I225" s="576"/>
      <c r="J225" s="101"/>
      <c r="K225" s="89"/>
      <c r="L225" s="97"/>
      <c r="M225" s="97"/>
      <c r="N225" s="97"/>
      <c r="O225" s="97"/>
      <c r="P225" s="97"/>
      <c r="Q225" s="97"/>
      <c r="R225" s="97"/>
      <c r="S225" s="97"/>
      <c r="T225" s="97"/>
      <c r="U225" s="97"/>
      <c r="V225" s="97"/>
      <c r="W225" s="97"/>
      <c r="X225" s="97"/>
      <c r="Y225" s="97"/>
      <c r="Z225" s="97"/>
      <c r="AA225" s="97"/>
      <c r="AB225" s="97"/>
      <c r="AC225" s="97"/>
      <c r="AD225" s="97"/>
      <c r="AE225" s="97"/>
      <c r="AF225" s="97"/>
      <c r="AG225" s="97"/>
      <c r="AH225" s="97"/>
      <c r="AI225" s="97"/>
      <c r="AJ225" s="97"/>
      <c r="AK225" s="97"/>
      <c r="AL225" s="97"/>
      <c r="AM225" s="97"/>
      <c r="AN225" s="97"/>
      <c r="AO225" s="97"/>
      <c r="AP225" s="97"/>
      <c r="AQ225" s="97"/>
      <c r="AR225" s="97"/>
      <c r="AS225" s="97"/>
      <c r="AT225" s="98"/>
      <c r="AU225" s="386"/>
      <c r="AV225" s="577"/>
      <c r="AW225" s="578"/>
    </row>
    <row r="226" spans="1:49" ht="15.75" customHeight="1" thickBot="1" x14ac:dyDescent="0.3">
      <c r="A226" s="570" t="e">
        <f>A221</f>
        <v>#N/A</v>
      </c>
      <c r="B226" s="571"/>
      <c r="C226" s="571"/>
      <c r="D226" s="571"/>
      <c r="E226" s="571"/>
      <c r="F226" s="571"/>
      <c r="G226" s="571"/>
      <c r="H226" s="571"/>
      <c r="I226" s="571"/>
      <c r="J226" s="102"/>
      <c r="K226" s="91"/>
      <c r="L226" s="99"/>
      <c r="M226" s="99"/>
      <c r="N226" s="99"/>
      <c r="O226" s="99"/>
      <c r="P226" s="99"/>
      <c r="Q226" s="99"/>
      <c r="R226" s="99"/>
      <c r="S226" s="99"/>
      <c r="T226" s="99"/>
      <c r="U226" s="99"/>
      <c r="V226" s="99"/>
      <c r="W226" s="99"/>
      <c r="X226" s="99"/>
      <c r="Y226" s="99"/>
      <c r="Z226" s="99"/>
      <c r="AA226" s="99"/>
      <c r="AB226" s="99"/>
      <c r="AC226" s="99"/>
      <c r="AD226" s="99"/>
      <c r="AE226" s="99"/>
      <c r="AF226" s="99"/>
      <c r="AG226" s="99"/>
      <c r="AH226" s="99"/>
      <c r="AI226" s="99"/>
      <c r="AJ226" s="99"/>
      <c r="AK226" s="99"/>
      <c r="AL226" s="99"/>
      <c r="AM226" s="99"/>
      <c r="AN226" s="99"/>
      <c r="AO226" s="99"/>
      <c r="AP226" s="99"/>
      <c r="AQ226" s="99"/>
      <c r="AR226" s="99"/>
      <c r="AS226" s="99"/>
      <c r="AT226" s="100"/>
      <c r="AU226" s="572"/>
      <c r="AV226" s="573"/>
      <c r="AW226" s="574"/>
    </row>
    <row r="227" spans="1:49" ht="4.5" customHeight="1" thickBot="1" x14ac:dyDescent="0.3">
      <c r="A227" s="88"/>
      <c r="B227" s="88"/>
      <c r="C227" s="88"/>
      <c r="D227" s="88"/>
      <c r="E227" s="88"/>
      <c r="F227" s="88"/>
      <c r="G227" s="88"/>
      <c r="H227" s="88"/>
      <c r="I227" s="88"/>
    </row>
    <row r="228" spans="1:49" ht="15.75" customHeight="1" x14ac:dyDescent="0.25">
      <c r="A228" s="575" t="e">
        <f>A223</f>
        <v>#N/A</v>
      </c>
      <c r="B228" s="576"/>
      <c r="C228" s="576"/>
      <c r="D228" s="576"/>
      <c r="E228" s="576"/>
      <c r="F228" s="576"/>
      <c r="G228" s="576"/>
      <c r="H228" s="576"/>
      <c r="I228" s="576"/>
      <c r="J228" s="101"/>
      <c r="K228" s="89"/>
      <c r="L228" s="97"/>
      <c r="M228" s="97"/>
      <c r="N228" s="97"/>
      <c r="O228" s="97"/>
      <c r="P228" s="97"/>
      <c r="Q228" s="97"/>
      <c r="R228" s="97"/>
      <c r="S228" s="97"/>
      <c r="T228" s="97"/>
      <c r="U228" s="97"/>
      <c r="V228" s="97"/>
      <c r="W228" s="97"/>
      <c r="X228" s="97"/>
      <c r="Y228" s="97"/>
      <c r="Z228" s="97"/>
      <c r="AA228" s="97"/>
      <c r="AB228" s="97"/>
      <c r="AC228" s="97"/>
      <c r="AD228" s="97"/>
      <c r="AE228" s="97"/>
      <c r="AF228" s="97"/>
      <c r="AG228" s="97"/>
      <c r="AH228" s="97"/>
      <c r="AI228" s="97"/>
      <c r="AJ228" s="97"/>
      <c r="AK228" s="97"/>
      <c r="AL228" s="97"/>
      <c r="AM228" s="97"/>
      <c r="AN228" s="97"/>
      <c r="AO228" s="97"/>
      <c r="AP228" s="97"/>
      <c r="AQ228" s="97"/>
      <c r="AR228" s="97"/>
      <c r="AS228" s="97"/>
      <c r="AT228" s="98"/>
      <c r="AU228" s="579"/>
      <c r="AV228" s="580"/>
      <c r="AW228" s="581"/>
    </row>
    <row r="229" spans="1:49" ht="15.75" customHeight="1" thickBot="1" x14ac:dyDescent="0.3">
      <c r="A229" s="570" t="e">
        <f>A224</f>
        <v>#N/A</v>
      </c>
      <c r="B229" s="571"/>
      <c r="C229" s="571"/>
      <c r="D229" s="571"/>
      <c r="E229" s="571"/>
      <c r="F229" s="571"/>
      <c r="G229" s="571"/>
      <c r="H229" s="571"/>
      <c r="I229" s="571"/>
      <c r="J229" s="102"/>
      <c r="K229" s="91"/>
      <c r="L229" s="99"/>
      <c r="M229" s="99"/>
      <c r="N229" s="99"/>
      <c r="O229" s="99"/>
      <c r="P229" s="99"/>
      <c r="Q229" s="99"/>
      <c r="R229" s="99"/>
      <c r="S229" s="99"/>
      <c r="T229" s="99"/>
      <c r="U229" s="99"/>
      <c r="V229" s="99"/>
      <c r="W229" s="99"/>
      <c r="X229" s="99"/>
      <c r="Y229" s="99"/>
      <c r="Z229" s="99"/>
      <c r="AA229" s="99"/>
      <c r="AB229" s="99"/>
      <c r="AC229" s="99"/>
      <c r="AD229" s="99"/>
      <c r="AE229" s="99"/>
      <c r="AF229" s="99"/>
      <c r="AG229" s="99"/>
      <c r="AH229" s="99"/>
      <c r="AI229" s="99"/>
      <c r="AJ229" s="99"/>
      <c r="AK229" s="99"/>
      <c r="AL229" s="99"/>
      <c r="AM229" s="99"/>
      <c r="AN229" s="99"/>
      <c r="AO229" s="99"/>
      <c r="AP229" s="99"/>
      <c r="AQ229" s="99"/>
      <c r="AR229" s="99"/>
      <c r="AS229" s="99"/>
      <c r="AT229" s="100"/>
      <c r="AU229" s="572"/>
      <c r="AV229" s="573"/>
      <c r="AW229" s="574"/>
    </row>
    <row r="230" spans="1:49" ht="15.75" customHeight="1" x14ac:dyDescent="0.25">
      <c r="A230" s="575" t="e">
        <f>A225</f>
        <v>#N/A</v>
      </c>
      <c r="B230" s="576"/>
      <c r="C230" s="576"/>
      <c r="D230" s="576"/>
      <c r="E230" s="576"/>
      <c r="F230" s="576"/>
      <c r="G230" s="576"/>
      <c r="H230" s="576"/>
      <c r="I230" s="576"/>
      <c r="J230" s="101"/>
      <c r="K230" s="89"/>
      <c r="L230" s="97"/>
      <c r="M230" s="97"/>
      <c r="N230" s="97"/>
      <c r="O230" s="97"/>
      <c r="P230" s="97"/>
      <c r="Q230" s="97"/>
      <c r="R230" s="97"/>
      <c r="S230" s="97"/>
      <c r="T230" s="97"/>
      <c r="U230" s="97"/>
      <c r="V230" s="97"/>
      <c r="W230" s="97"/>
      <c r="X230" s="97"/>
      <c r="Y230" s="97"/>
      <c r="Z230" s="97"/>
      <c r="AA230" s="97"/>
      <c r="AB230" s="97"/>
      <c r="AC230" s="97"/>
      <c r="AD230" s="97"/>
      <c r="AE230" s="97"/>
      <c r="AF230" s="97"/>
      <c r="AG230" s="97"/>
      <c r="AH230" s="97"/>
      <c r="AI230" s="97"/>
      <c r="AJ230" s="97"/>
      <c r="AK230" s="97"/>
      <c r="AL230" s="97"/>
      <c r="AM230" s="97"/>
      <c r="AN230" s="97"/>
      <c r="AO230" s="97"/>
      <c r="AP230" s="97"/>
      <c r="AQ230" s="97"/>
      <c r="AR230" s="97"/>
      <c r="AS230" s="97"/>
      <c r="AT230" s="98"/>
      <c r="AU230" s="386"/>
      <c r="AV230" s="577"/>
      <c r="AW230" s="578"/>
    </row>
    <row r="231" spans="1:49" ht="15.75" customHeight="1" thickBot="1" x14ac:dyDescent="0.3">
      <c r="A231" s="570" t="e">
        <f>A226</f>
        <v>#N/A</v>
      </c>
      <c r="B231" s="571"/>
      <c r="C231" s="571"/>
      <c r="D231" s="571"/>
      <c r="E231" s="571"/>
      <c r="F231" s="571"/>
      <c r="G231" s="571"/>
      <c r="H231" s="571"/>
      <c r="I231" s="571"/>
      <c r="J231" s="102"/>
      <c r="K231" s="91"/>
      <c r="L231" s="99"/>
      <c r="M231" s="99"/>
      <c r="N231" s="99"/>
      <c r="O231" s="99"/>
      <c r="P231" s="99"/>
      <c r="Q231" s="99"/>
      <c r="R231" s="99"/>
      <c r="S231" s="99"/>
      <c r="T231" s="99"/>
      <c r="U231" s="99"/>
      <c r="V231" s="99"/>
      <c r="W231" s="99"/>
      <c r="X231" s="99"/>
      <c r="Y231" s="99"/>
      <c r="Z231" s="99"/>
      <c r="AA231" s="99"/>
      <c r="AB231" s="99"/>
      <c r="AC231" s="99"/>
      <c r="AD231" s="99"/>
      <c r="AE231" s="99"/>
      <c r="AF231" s="99"/>
      <c r="AG231" s="99"/>
      <c r="AH231" s="99"/>
      <c r="AI231" s="99"/>
      <c r="AJ231" s="99"/>
      <c r="AK231" s="99"/>
      <c r="AL231" s="99"/>
      <c r="AM231" s="99"/>
      <c r="AN231" s="99"/>
      <c r="AO231" s="99"/>
      <c r="AP231" s="99"/>
      <c r="AQ231" s="99"/>
      <c r="AR231" s="99"/>
      <c r="AS231" s="99"/>
      <c r="AT231" s="100"/>
      <c r="AU231" s="572"/>
      <c r="AV231" s="573"/>
      <c r="AW231" s="574"/>
    </row>
    <row r="232" spans="1:49" ht="4.5" customHeight="1" thickBot="1" x14ac:dyDescent="0.3">
      <c r="A232" s="88"/>
      <c r="B232" s="88"/>
      <c r="C232" s="88"/>
      <c r="D232" s="88"/>
      <c r="E232" s="88"/>
      <c r="F232" s="88"/>
      <c r="G232" s="88"/>
      <c r="H232" s="88"/>
      <c r="I232" s="88"/>
    </row>
    <row r="233" spans="1:49" ht="15.75" customHeight="1" x14ac:dyDescent="0.25">
      <c r="A233" s="575" t="e">
        <f>A228</f>
        <v>#N/A</v>
      </c>
      <c r="B233" s="576"/>
      <c r="C233" s="576"/>
      <c r="D233" s="576"/>
      <c r="E233" s="576"/>
      <c r="F233" s="576"/>
      <c r="G233" s="576"/>
      <c r="H233" s="576"/>
      <c r="I233" s="576"/>
      <c r="J233" s="101"/>
      <c r="K233" s="89"/>
      <c r="L233" s="97"/>
      <c r="M233" s="97"/>
      <c r="N233" s="97"/>
      <c r="O233" s="97"/>
      <c r="P233" s="97"/>
      <c r="Q233" s="97"/>
      <c r="R233" s="97"/>
      <c r="S233" s="97"/>
      <c r="T233" s="97"/>
      <c r="U233" s="97"/>
      <c r="V233" s="97"/>
      <c r="W233" s="97"/>
      <c r="X233" s="97"/>
      <c r="Y233" s="97"/>
      <c r="Z233" s="97"/>
      <c r="AA233" s="97"/>
      <c r="AB233" s="97"/>
      <c r="AC233" s="97"/>
      <c r="AD233" s="97"/>
      <c r="AE233" s="97"/>
      <c r="AF233" s="97"/>
      <c r="AG233" s="97"/>
      <c r="AH233" s="97"/>
      <c r="AI233" s="97"/>
      <c r="AJ233" s="97"/>
      <c r="AK233" s="97"/>
      <c r="AL233" s="97"/>
      <c r="AM233" s="97"/>
      <c r="AN233" s="97"/>
      <c r="AO233" s="97"/>
      <c r="AP233" s="97"/>
      <c r="AQ233" s="97"/>
      <c r="AR233" s="97"/>
      <c r="AS233" s="97"/>
      <c r="AT233" s="98"/>
      <c r="AU233" s="579"/>
      <c r="AV233" s="580"/>
      <c r="AW233" s="581"/>
    </row>
    <row r="234" spans="1:49" ht="15.75" customHeight="1" thickBot="1" x14ac:dyDescent="0.3">
      <c r="A234" s="570" t="e">
        <f>A229</f>
        <v>#N/A</v>
      </c>
      <c r="B234" s="571"/>
      <c r="C234" s="571"/>
      <c r="D234" s="571"/>
      <c r="E234" s="571"/>
      <c r="F234" s="571"/>
      <c r="G234" s="571"/>
      <c r="H234" s="571"/>
      <c r="I234" s="571"/>
      <c r="J234" s="102"/>
      <c r="K234" s="91"/>
      <c r="L234" s="99"/>
      <c r="M234" s="99"/>
      <c r="N234" s="99"/>
      <c r="O234" s="99"/>
      <c r="P234" s="99"/>
      <c r="Q234" s="99"/>
      <c r="R234" s="99"/>
      <c r="S234" s="99"/>
      <c r="T234" s="99"/>
      <c r="U234" s="99"/>
      <c r="V234" s="99"/>
      <c r="W234" s="99"/>
      <c r="X234" s="99"/>
      <c r="Y234" s="99"/>
      <c r="Z234" s="99"/>
      <c r="AA234" s="99"/>
      <c r="AB234" s="99"/>
      <c r="AC234" s="99"/>
      <c r="AD234" s="99"/>
      <c r="AE234" s="99"/>
      <c r="AF234" s="99"/>
      <c r="AG234" s="99"/>
      <c r="AH234" s="99"/>
      <c r="AI234" s="99"/>
      <c r="AJ234" s="99"/>
      <c r="AK234" s="99"/>
      <c r="AL234" s="99"/>
      <c r="AM234" s="99"/>
      <c r="AN234" s="99"/>
      <c r="AO234" s="99"/>
      <c r="AP234" s="99"/>
      <c r="AQ234" s="99"/>
      <c r="AR234" s="99"/>
      <c r="AS234" s="99"/>
      <c r="AT234" s="100"/>
      <c r="AU234" s="572"/>
      <c r="AV234" s="573"/>
      <c r="AW234" s="574"/>
    </row>
    <row r="235" spans="1:49" ht="15.75" customHeight="1" x14ac:dyDescent="0.25">
      <c r="A235" s="575" t="e">
        <f>A230</f>
        <v>#N/A</v>
      </c>
      <c r="B235" s="576"/>
      <c r="C235" s="576"/>
      <c r="D235" s="576"/>
      <c r="E235" s="576"/>
      <c r="F235" s="576"/>
      <c r="G235" s="576"/>
      <c r="H235" s="576"/>
      <c r="I235" s="576"/>
      <c r="J235" s="101"/>
      <c r="K235" s="89"/>
      <c r="L235" s="97"/>
      <c r="M235" s="97"/>
      <c r="N235" s="97"/>
      <c r="O235" s="97"/>
      <c r="P235" s="97"/>
      <c r="Q235" s="97"/>
      <c r="R235" s="97"/>
      <c r="S235" s="97"/>
      <c r="T235" s="97"/>
      <c r="U235" s="97"/>
      <c r="V235" s="97"/>
      <c r="W235" s="97"/>
      <c r="X235" s="97"/>
      <c r="Y235" s="97"/>
      <c r="Z235" s="97"/>
      <c r="AA235" s="97"/>
      <c r="AB235" s="97"/>
      <c r="AC235" s="97"/>
      <c r="AD235" s="97"/>
      <c r="AE235" s="97"/>
      <c r="AF235" s="97"/>
      <c r="AG235" s="97"/>
      <c r="AH235" s="97"/>
      <c r="AI235" s="97"/>
      <c r="AJ235" s="97"/>
      <c r="AK235" s="97"/>
      <c r="AL235" s="97"/>
      <c r="AM235" s="97"/>
      <c r="AN235" s="97"/>
      <c r="AO235" s="97"/>
      <c r="AP235" s="97"/>
      <c r="AQ235" s="97"/>
      <c r="AR235" s="97"/>
      <c r="AS235" s="97"/>
      <c r="AT235" s="98"/>
      <c r="AU235" s="386"/>
      <c r="AV235" s="577"/>
      <c r="AW235" s="578"/>
    </row>
    <row r="236" spans="1:49" ht="15.75" customHeight="1" thickBot="1" x14ac:dyDescent="0.3">
      <c r="A236" s="570" t="e">
        <f>A231</f>
        <v>#N/A</v>
      </c>
      <c r="B236" s="571"/>
      <c r="C236" s="571"/>
      <c r="D236" s="571"/>
      <c r="E236" s="571"/>
      <c r="F236" s="571"/>
      <c r="G236" s="571"/>
      <c r="H236" s="571"/>
      <c r="I236" s="571"/>
      <c r="J236" s="102"/>
      <c r="K236" s="91"/>
      <c r="L236" s="99"/>
      <c r="M236" s="99"/>
      <c r="N236" s="99"/>
      <c r="O236" s="99"/>
      <c r="P236" s="99"/>
      <c r="Q236" s="99"/>
      <c r="R236" s="99"/>
      <c r="S236" s="99"/>
      <c r="T236" s="99"/>
      <c r="U236" s="99"/>
      <c r="V236" s="99"/>
      <c r="W236" s="99"/>
      <c r="X236" s="99"/>
      <c r="Y236" s="99"/>
      <c r="Z236" s="99"/>
      <c r="AA236" s="99"/>
      <c r="AB236" s="99"/>
      <c r="AC236" s="99"/>
      <c r="AD236" s="99"/>
      <c r="AE236" s="99"/>
      <c r="AF236" s="99"/>
      <c r="AG236" s="99"/>
      <c r="AH236" s="99"/>
      <c r="AI236" s="99"/>
      <c r="AJ236" s="99"/>
      <c r="AK236" s="99"/>
      <c r="AL236" s="99"/>
      <c r="AM236" s="99"/>
      <c r="AN236" s="99"/>
      <c r="AO236" s="99"/>
      <c r="AP236" s="99"/>
      <c r="AQ236" s="99"/>
      <c r="AR236" s="99"/>
      <c r="AS236" s="99"/>
      <c r="AT236" s="100"/>
      <c r="AU236" s="572"/>
      <c r="AV236" s="573"/>
      <c r="AW236" s="574"/>
    </row>
    <row r="237" spans="1:49" ht="4.5" customHeight="1" x14ac:dyDescent="0.25"/>
    <row r="240" spans="1:49" x14ac:dyDescent="0.25">
      <c r="M240" t="s">
        <v>340</v>
      </c>
      <c r="R240" s="103"/>
      <c r="S240" s="103"/>
      <c r="T240" s="103"/>
      <c r="U240" s="103"/>
      <c r="V240" s="103"/>
      <c r="W240" s="103"/>
      <c r="X240" s="103"/>
      <c r="Y240" s="103"/>
      <c r="Z240" s="103"/>
      <c r="AA240" s="103"/>
      <c r="AB240" s="103"/>
      <c r="AC240" s="103"/>
      <c r="AD240" s="103"/>
      <c r="AF240" t="s">
        <v>284</v>
      </c>
      <c r="AK240" s="103"/>
      <c r="AL240" s="103"/>
      <c r="AM240" s="103"/>
      <c r="AN240" s="103"/>
      <c r="AO240" s="103"/>
      <c r="AP240" s="103"/>
      <c r="AQ240" s="103"/>
      <c r="AR240" s="103"/>
      <c r="AS240" s="103"/>
      <c r="AT240" s="103"/>
      <c r="AU240" s="103"/>
      <c r="AV240" s="103"/>
      <c r="AW240" s="103"/>
    </row>
    <row r="241" spans="1:49" x14ac:dyDescent="0.25">
      <c r="A241" s="591" t="s">
        <v>208</v>
      </c>
      <c r="B241" s="591"/>
      <c r="C241" s="591"/>
      <c r="D241" s="591"/>
      <c r="E241" s="591"/>
      <c r="F241" s="591"/>
      <c r="G241" s="591"/>
      <c r="H241" s="591"/>
      <c r="I241" s="591"/>
      <c r="J241" s="591"/>
      <c r="K241" s="591"/>
      <c r="L241" s="591"/>
      <c r="M241" s="591"/>
      <c r="N241" s="591"/>
      <c r="O241" s="591"/>
      <c r="P241" s="591"/>
      <c r="Q241" s="591"/>
      <c r="R241" s="591"/>
      <c r="S241" s="591"/>
      <c r="T241" s="591"/>
      <c r="U241" s="591"/>
      <c r="V241" s="591"/>
      <c r="W241" s="591"/>
      <c r="X241" s="591"/>
      <c r="Y241" s="591"/>
      <c r="Z241" s="591"/>
      <c r="AA241" s="591"/>
      <c r="AB241" s="591"/>
      <c r="AC241" s="591"/>
      <c r="AD241" s="591"/>
      <c r="AE241" s="591"/>
      <c r="AF241" s="591"/>
      <c r="AG241" s="591"/>
      <c r="AH241" s="591"/>
      <c r="AI241" s="591"/>
      <c r="AJ241" s="591"/>
      <c r="AK241" s="591"/>
      <c r="AL241" s="591"/>
      <c r="AM241" s="591"/>
      <c r="AN241" s="591"/>
      <c r="AO241" s="591"/>
      <c r="AP241" s="591"/>
      <c r="AQ241" s="591"/>
      <c r="AR241" s="591"/>
      <c r="AS241" s="591"/>
      <c r="AT241" s="591"/>
      <c r="AU241" s="591"/>
      <c r="AV241" s="591"/>
      <c r="AW241" s="591"/>
    </row>
    <row r="242" spans="1:49" x14ac:dyDescent="0.25">
      <c r="A242" s="591"/>
      <c r="B242" s="591"/>
      <c r="C242" s="591"/>
      <c r="D242" s="591"/>
      <c r="E242" s="591"/>
      <c r="F242" s="591"/>
      <c r="G242" s="591"/>
      <c r="H242" s="591"/>
      <c r="I242" s="591"/>
      <c r="J242" s="591"/>
      <c r="K242" s="591"/>
      <c r="L242" s="591"/>
      <c r="M242" s="591"/>
      <c r="N242" s="591"/>
      <c r="O242" s="591"/>
      <c r="P242" s="591"/>
      <c r="Q242" s="591"/>
      <c r="R242" s="591"/>
      <c r="S242" s="591"/>
      <c r="T242" s="591"/>
      <c r="U242" s="591"/>
      <c r="V242" s="591"/>
      <c r="W242" s="591"/>
      <c r="X242" s="591"/>
      <c r="Y242" s="591"/>
      <c r="Z242" s="591"/>
      <c r="AA242" s="591"/>
      <c r="AB242" s="591"/>
      <c r="AC242" s="591"/>
      <c r="AD242" s="591"/>
      <c r="AE242" s="591"/>
      <c r="AF242" s="591"/>
      <c r="AG242" s="591"/>
      <c r="AH242" s="591"/>
      <c r="AI242" s="591"/>
      <c r="AJ242" s="591"/>
      <c r="AK242" s="591"/>
      <c r="AL242" s="591"/>
      <c r="AM242" s="591"/>
      <c r="AN242" s="591"/>
      <c r="AO242" s="591"/>
      <c r="AP242" s="591"/>
      <c r="AQ242" s="591"/>
      <c r="AR242" s="591"/>
      <c r="AS242" s="591"/>
      <c r="AT242" s="591"/>
      <c r="AU242" s="591"/>
      <c r="AV242" s="591"/>
      <c r="AW242" s="591"/>
    </row>
    <row r="243" spans="1:49" ht="15.75" thickBot="1" x14ac:dyDescent="0.3">
      <c r="B243" t="s">
        <v>331</v>
      </c>
      <c r="E243" s="583" t="str">
        <f>Spielbericht!D24</f>
        <v>2. HE</v>
      </c>
      <c r="F243" s="583"/>
      <c r="G243" s="583"/>
      <c r="H243" s="583"/>
      <c r="I243" s="208">
        <f>Spielbericht!A24</f>
        <v>0</v>
      </c>
      <c r="J243" s="208"/>
      <c r="K243" s="208"/>
      <c r="L243" s="592" t="s">
        <v>334</v>
      </c>
      <c r="M243" s="592"/>
      <c r="N243" s="592"/>
      <c r="O243" s="592"/>
      <c r="P243" s="592"/>
      <c r="Q243" s="592"/>
      <c r="R243" s="592"/>
      <c r="S243" s="592"/>
      <c r="T243" s="592"/>
      <c r="U243" s="592"/>
      <c r="V243" s="592"/>
      <c r="W243" s="592"/>
      <c r="X243" s="592"/>
      <c r="Y243" s="592"/>
      <c r="Z243" s="592"/>
      <c r="AA243" s="592"/>
      <c r="AB243" s="592"/>
      <c r="AC243" s="592"/>
      <c r="AD243" s="592"/>
      <c r="AE243" s="592"/>
      <c r="AF243" s="592"/>
      <c r="AG243" s="592"/>
      <c r="AH243" s="592"/>
      <c r="AI243" s="592"/>
      <c r="AJ243" s="592"/>
      <c r="AK243" s="592"/>
      <c r="AL243" s="592"/>
    </row>
    <row r="244" spans="1:49" ht="15.75" thickBot="1" x14ac:dyDescent="0.3">
      <c r="B244" t="s">
        <v>336</v>
      </c>
      <c r="E244" s="583">
        <f ca="1">E206</f>
        <v>42418</v>
      </c>
      <c r="F244" s="208"/>
      <c r="G244" s="208"/>
      <c r="H244" s="208"/>
      <c r="I244" s="208"/>
      <c r="J244" s="208"/>
      <c r="K244" s="208"/>
      <c r="L244" s="94"/>
      <c r="M244" s="584" t="e">
        <f>Spielbericht!K24</f>
        <v>#N/A</v>
      </c>
      <c r="N244" s="585"/>
      <c r="O244" s="585"/>
      <c r="P244" s="585"/>
      <c r="Q244" s="585"/>
      <c r="R244" s="585"/>
      <c r="S244" s="585"/>
      <c r="T244" s="585"/>
      <c r="U244" s="586"/>
      <c r="V244" s="95" t="s">
        <v>337</v>
      </c>
      <c r="W244" s="580" t="str">
        <f>IF(Spielbericht!BN24="","",Spielbericht!BN24)</f>
        <v/>
      </c>
      <c r="X244" s="580"/>
      <c r="Y244" s="111" t="s">
        <v>301</v>
      </c>
      <c r="Z244" s="580" t="str">
        <f>IF(Spielbericht!BQ24="","",Spielbericht!BQ24)</f>
        <v/>
      </c>
      <c r="AA244" s="581"/>
      <c r="AB244" s="584" t="e">
        <f>Spielbericht!AN24</f>
        <v>#N/A</v>
      </c>
      <c r="AC244" s="585"/>
      <c r="AD244" s="585"/>
      <c r="AE244" s="585"/>
      <c r="AF244" s="585"/>
      <c r="AG244" s="585"/>
      <c r="AH244" s="585"/>
      <c r="AI244" s="585"/>
      <c r="AJ244" s="586"/>
      <c r="AK244" s="93"/>
      <c r="AM244" s="58" t="s">
        <v>29</v>
      </c>
      <c r="AQ244" s="4"/>
      <c r="AR244" s="4"/>
      <c r="AS244" s="4"/>
      <c r="AT244" s="4"/>
      <c r="AU244" s="4"/>
      <c r="AV244" s="4"/>
      <c r="AW244" s="4"/>
    </row>
    <row r="245" spans="1:49" ht="15.75" thickBot="1" x14ac:dyDescent="0.3">
      <c r="B245" t="s">
        <v>335</v>
      </c>
      <c r="E245" s="382"/>
      <c r="F245" s="382"/>
      <c r="G245" s="382"/>
      <c r="H245" s="382"/>
      <c r="I245" s="382"/>
      <c r="J245" s="382"/>
      <c r="K245" s="382"/>
      <c r="M245" s="587"/>
      <c r="N245" s="588"/>
      <c r="O245" s="588"/>
      <c r="P245" s="588"/>
      <c r="Q245" s="588"/>
      <c r="R245" s="588"/>
      <c r="S245" s="588"/>
      <c r="T245" s="588"/>
      <c r="U245" s="589"/>
      <c r="V245" s="96" t="s">
        <v>338</v>
      </c>
      <c r="W245" s="182" t="str">
        <f>IF(Spielbericht!BT24="","",Spielbericht!BT24)</f>
        <v/>
      </c>
      <c r="X245" s="182"/>
      <c r="Y245" s="109" t="s">
        <v>301</v>
      </c>
      <c r="Z245" s="182" t="str">
        <f>IF(Spielbericht!BW24="","",Spielbericht!BW24)</f>
        <v/>
      </c>
      <c r="AA245" s="590"/>
      <c r="AB245" s="587"/>
      <c r="AC245" s="588"/>
      <c r="AD245" s="588"/>
      <c r="AE245" s="588"/>
      <c r="AF245" s="588"/>
      <c r="AG245" s="588"/>
      <c r="AH245" s="588"/>
      <c r="AI245" s="588"/>
      <c r="AJ245" s="589"/>
    </row>
    <row r="246" spans="1:49" ht="15.75" thickBot="1" x14ac:dyDescent="0.3">
      <c r="B246" t="s">
        <v>33</v>
      </c>
      <c r="E246" s="582">
        <f ca="1">TODAY()</f>
        <v>42418</v>
      </c>
      <c r="F246" s="582"/>
      <c r="G246" s="582"/>
      <c r="H246" s="582"/>
      <c r="I246" s="582"/>
      <c r="J246" s="582"/>
      <c r="K246" s="582"/>
      <c r="M246" s="425">
        <f>M206</f>
        <v>0</v>
      </c>
      <c r="N246" s="426"/>
      <c r="O246" s="426"/>
      <c r="P246" s="426"/>
      <c r="Q246" s="426"/>
      <c r="R246" s="426"/>
      <c r="S246" s="426"/>
      <c r="T246" s="426"/>
      <c r="U246" s="427"/>
      <c r="V246" s="91" t="s">
        <v>339</v>
      </c>
      <c r="W246" s="573" t="str">
        <f>IF(Spielbericht!BZ24="","",Spielbericht!BZ24)</f>
        <v/>
      </c>
      <c r="X246" s="573"/>
      <c r="Y246" s="110" t="s">
        <v>301</v>
      </c>
      <c r="Z246" s="573" t="str">
        <f>IF(Spielbericht!CC24="","",Spielbericht!CC24)</f>
        <v/>
      </c>
      <c r="AA246" s="574"/>
      <c r="AB246" s="425">
        <f>AB206</f>
        <v>0</v>
      </c>
      <c r="AC246" s="426"/>
      <c r="AD246" s="426"/>
      <c r="AE246" s="426"/>
      <c r="AF246" s="426"/>
      <c r="AG246" s="426"/>
      <c r="AH246" s="426"/>
      <c r="AI246" s="426"/>
      <c r="AJ246" s="427"/>
      <c r="AK246" s="5"/>
      <c r="AL246" s="5"/>
      <c r="AM246" s="58" t="s">
        <v>332</v>
      </c>
      <c r="AN246" s="5"/>
      <c r="AO246" s="4"/>
      <c r="AP246" s="4"/>
      <c r="AQ246" s="4"/>
      <c r="AR246" s="4"/>
      <c r="AS246" s="58" t="s">
        <v>333</v>
      </c>
      <c r="AU246" s="4"/>
      <c r="AV246" s="4"/>
      <c r="AW246" s="4"/>
    </row>
    <row r="247" spans="1:49" ht="15" customHeight="1" thickBot="1" x14ac:dyDescent="0.3">
      <c r="A247" s="208"/>
      <c r="B247" s="208"/>
      <c r="C247" s="208"/>
      <c r="D247" s="208"/>
      <c r="E247" s="208"/>
      <c r="F247" s="208"/>
      <c r="G247" s="208"/>
      <c r="H247" s="208"/>
      <c r="I247" s="208"/>
      <c r="J247" s="208"/>
      <c r="K247" s="208"/>
      <c r="L247" s="208"/>
      <c r="M247" s="208"/>
      <c r="N247" s="208"/>
      <c r="O247" s="208"/>
      <c r="P247" s="208"/>
      <c r="Q247" s="208"/>
      <c r="R247" s="208"/>
      <c r="S247" s="208"/>
      <c r="T247" s="208"/>
      <c r="U247" s="208"/>
      <c r="V247" s="208"/>
      <c r="W247" s="208"/>
      <c r="X247" s="208"/>
      <c r="Z247" s="208"/>
      <c r="AA247" s="208"/>
      <c r="AB247" s="208"/>
      <c r="AC247" s="208"/>
      <c r="AD247" s="208"/>
      <c r="AE247" s="208"/>
      <c r="AF247" s="208"/>
      <c r="AG247" s="208"/>
      <c r="AH247" s="208"/>
      <c r="AI247" s="208"/>
      <c r="AJ247" s="208"/>
      <c r="AK247" s="208"/>
      <c r="AL247" s="208"/>
      <c r="AM247" s="208"/>
      <c r="AN247" s="208"/>
      <c r="AO247" s="208"/>
      <c r="AP247" s="208"/>
      <c r="AQ247" s="208"/>
      <c r="AR247" s="208"/>
      <c r="AS247" s="208"/>
      <c r="AT247" s="208"/>
      <c r="AU247" s="208"/>
      <c r="AV247" s="208"/>
      <c r="AW247" s="208"/>
    </row>
    <row r="248" spans="1:49" ht="15.75" customHeight="1" x14ac:dyDescent="0.25">
      <c r="A248" s="575" t="e">
        <f>M244</f>
        <v>#N/A</v>
      </c>
      <c r="B248" s="576"/>
      <c r="C248" s="576"/>
      <c r="D248" s="576"/>
      <c r="E248" s="576"/>
      <c r="F248" s="576"/>
      <c r="G248" s="576"/>
      <c r="H248" s="576"/>
      <c r="I248" s="576"/>
      <c r="J248" s="101"/>
      <c r="K248" s="89"/>
      <c r="L248" s="97"/>
      <c r="M248" s="97"/>
      <c r="N248" s="97"/>
      <c r="O248" s="97"/>
      <c r="P248" s="97"/>
      <c r="Q248" s="97"/>
      <c r="R248" s="97"/>
      <c r="S248" s="97"/>
      <c r="T248" s="97"/>
      <c r="U248" s="97"/>
      <c r="V248" s="97"/>
      <c r="W248" s="97"/>
      <c r="X248" s="97"/>
      <c r="Y248" s="97"/>
      <c r="Z248" s="97"/>
      <c r="AA248" s="97"/>
      <c r="AB248" s="97"/>
      <c r="AC248" s="97"/>
      <c r="AD248" s="97"/>
      <c r="AE248" s="97"/>
      <c r="AF248" s="97"/>
      <c r="AG248" s="97"/>
      <c r="AH248" s="97"/>
      <c r="AI248" s="97"/>
      <c r="AJ248" s="97"/>
      <c r="AK248" s="97"/>
      <c r="AL248" s="97"/>
      <c r="AM248" s="97"/>
      <c r="AN248" s="97"/>
      <c r="AO248" s="97"/>
      <c r="AP248" s="97"/>
      <c r="AQ248" s="97"/>
      <c r="AR248" s="97"/>
      <c r="AS248" s="97"/>
      <c r="AT248" s="98"/>
      <c r="AU248" s="579"/>
      <c r="AV248" s="580"/>
      <c r="AW248" s="581"/>
    </row>
    <row r="249" spans="1:49" ht="15.75" customHeight="1" thickBot="1" x14ac:dyDescent="0.3">
      <c r="A249" s="570"/>
      <c r="B249" s="571"/>
      <c r="C249" s="571"/>
      <c r="D249" s="571"/>
      <c r="E249" s="571"/>
      <c r="F249" s="571"/>
      <c r="G249" s="571"/>
      <c r="H249" s="571"/>
      <c r="I249" s="571"/>
      <c r="J249" s="102"/>
      <c r="K249" s="91"/>
      <c r="L249" s="99"/>
      <c r="M249" s="99"/>
      <c r="N249" s="99"/>
      <c r="O249" s="99"/>
      <c r="P249" s="99"/>
      <c r="Q249" s="99"/>
      <c r="R249" s="99"/>
      <c r="S249" s="99"/>
      <c r="T249" s="99"/>
      <c r="U249" s="99"/>
      <c r="V249" s="99"/>
      <c r="W249" s="99"/>
      <c r="X249" s="99"/>
      <c r="Y249" s="99"/>
      <c r="Z249" s="99"/>
      <c r="AA249" s="99"/>
      <c r="AB249" s="99"/>
      <c r="AC249" s="99"/>
      <c r="AD249" s="99"/>
      <c r="AE249" s="99"/>
      <c r="AF249" s="99"/>
      <c r="AG249" s="99"/>
      <c r="AH249" s="99"/>
      <c r="AI249" s="99"/>
      <c r="AJ249" s="99"/>
      <c r="AK249" s="99"/>
      <c r="AL249" s="99"/>
      <c r="AM249" s="99"/>
      <c r="AN249" s="99"/>
      <c r="AO249" s="99"/>
      <c r="AP249" s="99"/>
      <c r="AQ249" s="99"/>
      <c r="AR249" s="99"/>
      <c r="AS249" s="99"/>
      <c r="AT249" s="100"/>
      <c r="AU249" s="572"/>
      <c r="AV249" s="573"/>
      <c r="AW249" s="574"/>
    </row>
    <row r="250" spans="1:49" ht="15.75" customHeight="1" x14ac:dyDescent="0.25">
      <c r="A250" s="575" t="e">
        <f>AB244</f>
        <v>#N/A</v>
      </c>
      <c r="B250" s="576"/>
      <c r="C250" s="576"/>
      <c r="D250" s="576"/>
      <c r="E250" s="576"/>
      <c r="F250" s="576"/>
      <c r="G250" s="576"/>
      <c r="H250" s="576"/>
      <c r="I250" s="576"/>
      <c r="J250" s="101"/>
      <c r="K250" s="89"/>
      <c r="L250" s="97"/>
      <c r="M250" s="97"/>
      <c r="N250" s="97"/>
      <c r="O250" s="97"/>
      <c r="P250" s="97"/>
      <c r="Q250" s="97"/>
      <c r="R250" s="97"/>
      <c r="S250" s="97"/>
      <c r="T250" s="97"/>
      <c r="U250" s="97"/>
      <c r="V250" s="97"/>
      <c r="W250" s="97"/>
      <c r="X250" s="97"/>
      <c r="Y250" s="97"/>
      <c r="Z250" s="97"/>
      <c r="AA250" s="97"/>
      <c r="AB250" s="97"/>
      <c r="AC250" s="97"/>
      <c r="AD250" s="97"/>
      <c r="AE250" s="97"/>
      <c r="AF250" s="97"/>
      <c r="AG250" s="97"/>
      <c r="AH250" s="97"/>
      <c r="AI250" s="97"/>
      <c r="AJ250" s="97"/>
      <c r="AK250" s="97"/>
      <c r="AL250" s="97"/>
      <c r="AM250" s="97"/>
      <c r="AN250" s="97"/>
      <c r="AO250" s="97"/>
      <c r="AP250" s="97"/>
      <c r="AQ250" s="97"/>
      <c r="AR250" s="97"/>
      <c r="AS250" s="97"/>
      <c r="AT250" s="98"/>
      <c r="AU250" s="386"/>
      <c r="AV250" s="577"/>
      <c r="AW250" s="578"/>
    </row>
    <row r="251" spans="1:49" ht="15.75" customHeight="1" thickBot="1" x14ac:dyDescent="0.3">
      <c r="A251" s="570"/>
      <c r="B251" s="571"/>
      <c r="C251" s="571"/>
      <c r="D251" s="571"/>
      <c r="E251" s="571"/>
      <c r="F251" s="571"/>
      <c r="G251" s="571"/>
      <c r="H251" s="571"/>
      <c r="I251" s="571"/>
      <c r="J251" s="102"/>
      <c r="K251" s="91"/>
      <c r="L251" s="99"/>
      <c r="M251" s="99"/>
      <c r="N251" s="99"/>
      <c r="O251" s="99"/>
      <c r="P251" s="99"/>
      <c r="Q251" s="99"/>
      <c r="R251" s="99"/>
      <c r="S251" s="99"/>
      <c r="T251" s="99"/>
      <c r="U251" s="99"/>
      <c r="V251" s="99"/>
      <c r="W251" s="99"/>
      <c r="X251" s="99"/>
      <c r="Y251" s="99"/>
      <c r="Z251" s="99"/>
      <c r="AA251" s="99"/>
      <c r="AB251" s="99"/>
      <c r="AC251" s="99"/>
      <c r="AD251" s="99"/>
      <c r="AE251" s="99"/>
      <c r="AF251" s="99"/>
      <c r="AG251" s="99"/>
      <c r="AH251" s="99"/>
      <c r="AI251" s="99"/>
      <c r="AJ251" s="99"/>
      <c r="AK251" s="99"/>
      <c r="AL251" s="99"/>
      <c r="AM251" s="99"/>
      <c r="AN251" s="99"/>
      <c r="AO251" s="99"/>
      <c r="AP251" s="99"/>
      <c r="AQ251" s="99"/>
      <c r="AR251" s="99"/>
      <c r="AS251" s="99"/>
      <c r="AT251" s="100"/>
      <c r="AU251" s="572"/>
      <c r="AV251" s="573"/>
      <c r="AW251" s="574"/>
    </row>
    <row r="252" spans="1:49" ht="4.5" customHeight="1" thickBot="1" x14ac:dyDescent="0.3">
      <c r="A252" s="88"/>
      <c r="B252" s="88"/>
      <c r="C252" s="88"/>
      <c r="D252" s="88"/>
      <c r="E252" s="88"/>
      <c r="F252" s="88"/>
      <c r="G252" s="88"/>
      <c r="H252" s="88"/>
      <c r="I252" s="88"/>
      <c r="K252" s="5"/>
      <c r="L252" s="5"/>
    </row>
    <row r="253" spans="1:49" ht="15.75" customHeight="1" x14ac:dyDescent="0.25">
      <c r="A253" s="575" t="e">
        <f>A248</f>
        <v>#N/A</v>
      </c>
      <c r="B253" s="576"/>
      <c r="C253" s="576"/>
      <c r="D253" s="576"/>
      <c r="E253" s="576"/>
      <c r="F253" s="576"/>
      <c r="G253" s="576"/>
      <c r="H253" s="576"/>
      <c r="I253" s="576"/>
      <c r="J253" s="101"/>
      <c r="K253" s="89"/>
      <c r="L253" s="97"/>
      <c r="M253" s="97"/>
      <c r="N253" s="97"/>
      <c r="O253" s="97"/>
      <c r="P253" s="97"/>
      <c r="Q253" s="97"/>
      <c r="R253" s="97"/>
      <c r="S253" s="97"/>
      <c r="T253" s="97"/>
      <c r="U253" s="97"/>
      <c r="V253" s="97"/>
      <c r="W253" s="97"/>
      <c r="X253" s="97"/>
      <c r="Y253" s="97"/>
      <c r="Z253" s="97"/>
      <c r="AA253" s="97"/>
      <c r="AB253" s="97"/>
      <c r="AC253" s="97"/>
      <c r="AD253" s="97"/>
      <c r="AE253" s="97"/>
      <c r="AF253" s="97"/>
      <c r="AG253" s="97"/>
      <c r="AH253" s="97"/>
      <c r="AI253" s="97"/>
      <c r="AJ253" s="97"/>
      <c r="AK253" s="97"/>
      <c r="AL253" s="97"/>
      <c r="AM253" s="97"/>
      <c r="AN253" s="97"/>
      <c r="AO253" s="97"/>
      <c r="AP253" s="97"/>
      <c r="AQ253" s="97"/>
      <c r="AR253" s="97"/>
      <c r="AS253" s="97"/>
      <c r="AT253" s="98"/>
      <c r="AU253" s="579"/>
      <c r="AV253" s="580"/>
      <c r="AW253" s="581"/>
    </row>
    <row r="254" spans="1:49" ht="15.75" customHeight="1" thickBot="1" x14ac:dyDescent="0.3">
      <c r="A254" s="570"/>
      <c r="B254" s="571"/>
      <c r="C254" s="571"/>
      <c r="D254" s="571"/>
      <c r="E254" s="571"/>
      <c r="F254" s="571"/>
      <c r="G254" s="571"/>
      <c r="H254" s="571"/>
      <c r="I254" s="571"/>
      <c r="J254" s="102"/>
      <c r="K254" s="91"/>
      <c r="L254" s="99"/>
      <c r="M254" s="99"/>
      <c r="N254" s="99"/>
      <c r="O254" s="99"/>
      <c r="P254" s="99"/>
      <c r="Q254" s="99"/>
      <c r="R254" s="99"/>
      <c r="S254" s="99"/>
      <c r="T254" s="99"/>
      <c r="U254" s="99"/>
      <c r="V254" s="99"/>
      <c r="W254" s="99"/>
      <c r="X254" s="99"/>
      <c r="Y254" s="99"/>
      <c r="Z254" s="99"/>
      <c r="AA254" s="99"/>
      <c r="AB254" s="99"/>
      <c r="AC254" s="99"/>
      <c r="AD254" s="99"/>
      <c r="AE254" s="99"/>
      <c r="AF254" s="99"/>
      <c r="AG254" s="99"/>
      <c r="AH254" s="99"/>
      <c r="AI254" s="99"/>
      <c r="AJ254" s="99"/>
      <c r="AK254" s="99"/>
      <c r="AL254" s="99"/>
      <c r="AM254" s="99"/>
      <c r="AN254" s="99"/>
      <c r="AO254" s="99"/>
      <c r="AP254" s="99"/>
      <c r="AQ254" s="99"/>
      <c r="AR254" s="99"/>
      <c r="AS254" s="99"/>
      <c r="AT254" s="100"/>
      <c r="AU254" s="572"/>
      <c r="AV254" s="573"/>
      <c r="AW254" s="574"/>
    </row>
    <row r="255" spans="1:49" ht="15.75" customHeight="1" x14ac:dyDescent="0.25">
      <c r="A255" s="575" t="e">
        <f>A250</f>
        <v>#N/A</v>
      </c>
      <c r="B255" s="576"/>
      <c r="C255" s="576"/>
      <c r="D255" s="576"/>
      <c r="E255" s="576"/>
      <c r="F255" s="576"/>
      <c r="G255" s="576"/>
      <c r="H255" s="576"/>
      <c r="I255" s="576"/>
      <c r="J255" s="101"/>
      <c r="K255" s="89"/>
      <c r="L255" s="97"/>
      <c r="M255" s="97"/>
      <c r="N255" s="97"/>
      <c r="O255" s="97"/>
      <c r="P255" s="97"/>
      <c r="Q255" s="97"/>
      <c r="R255" s="97"/>
      <c r="S255" s="97"/>
      <c r="T255" s="97"/>
      <c r="U255" s="97"/>
      <c r="V255" s="97"/>
      <c r="W255" s="97"/>
      <c r="X255" s="97"/>
      <c r="Y255" s="97"/>
      <c r="Z255" s="97"/>
      <c r="AA255" s="97"/>
      <c r="AB255" s="97"/>
      <c r="AC255" s="97"/>
      <c r="AD255" s="97"/>
      <c r="AE255" s="97"/>
      <c r="AF255" s="97"/>
      <c r="AG255" s="97"/>
      <c r="AH255" s="97"/>
      <c r="AI255" s="97"/>
      <c r="AJ255" s="97"/>
      <c r="AK255" s="97"/>
      <c r="AL255" s="97"/>
      <c r="AM255" s="97"/>
      <c r="AN255" s="97"/>
      <c r="AO255" s="97"/>
      <c r="AP255" s="97"/>
      <c r="AQ255" s="97"/>
      <c r="AR255" s="97"/>
      <c r="AS255" s="97"/>
      <c r="AT255" s="98"/>
      <c r="AU255" s="386"/>
      <c r="AV255" s="577"/>
      <c r="AW255" s="578"/>
    </row>
    <row r="256" spans="1:49" ht="15.75" customHeight="1" thickBot="1" x14ac:dyDescent="0.3">
      <c r="A256" s="570"/>
      <c r="B256" s="571"/>
      <c r="C256" s="571"/>
      <c r="D256" s="571"/>
      <c r="E256" s="571"/>
      <c r="F256" s="571"/>
      <c r="G256" s="571"/>
      <c r="H256" s="571"/>
      <c r="I256" s="571"/>
      <c r="J256" s="102"/>
      <c r="K256" s="91"/>
      <c r="L256" s="99"/>
      <c r="M256" s="99"/>
      <c r="N256" s="99"/>
      <c r="O256" s="99"/>
      <c r="P256" s="99"/>
      <c r="Q256" s="99"/>
      <c r="R256" s="99"/>
      <c r="S256" s="99"/>
      <c r="T256" s="99"/>
      <c r="U256" s="99"/>
      <c r="V256" s="99"/>
      <c r="W256" s="99"/>
      <c r="X256" s="99"/>
      <c r="Y256" s="99"/>
      <c r="Z256" s="99"/>
      <c r="AA256" s="99"/>
      <c r="AB256" s="99"/>
      <c r="AC256" s="99"/>
      <c r="AD256" s="99"/>
      <c r="AE256" s="99"/>
      <c r="AF256" s="99"/>
      <c r="AG256" s="99"/>
      <c r="AH256" s="99"/>
      <c r="AI256" s="99"/>
      <c r="AJ256" s="99"/>
      <c r="AK256" s="99"/>
      <c r="AL256" s="99"/>
      <c r="AM256" s="99"/>
      <c r="AN256" s="99"/>
      <c r="AO256" s="99"/>
      <c r="AP256" s="99"/>
      <c r="AQ256" s="99"/>
      <c r="AR256" s="99"/>
      <c r="AS256" s="99"/>
      <c r="AT256" s="100"/>
      <c r="AU256" s="572"/>
      <c r="AV256" s="573"/>
      <c r="AW256" s="574"/>
    </row>
    <row r="257" spans="1:49" ht="4.5" customHeight="1" thickBot="1" x14ac:dyDescent="0.3">
      <c r="A257" s="88"/>
      <c r="B257" s="88"/>
      <c r="C257" s="88"/>
      <c r="D257" s="88"/>
      <c r="E257" s="88"/>
      <c r="F257" s="88"/>
      <c r="G257" s="88"/>
      <c r="H257" s="88"/>
      <c r="I257" s="88"/>
    </row>
    <row r="258" spans="1:49" ht="15.75" customHeight="1" x14ac:dyDescent="0.25">
      <c r="A258" s="575" t="e">
        <f>A253</f>
        <v>#N/A</v>
      </c>
      <c r="B258" s="576"/>
      <c r="C258" s="576"/>
      <c r="D258" s="576"/>
      <c r="E258" s="576"/>
      <c r="F258" s="576"/>
      <c r="G258" s="576"/>
      <c r="H258" s="576"/>
      <c r="I258" s="576"/>
      <c r="J258" s="101"/>
      <c r="K258" s="89"/>
      <c r="L258" s="97"/>
      <c r="M258" s="97"/>
      <c r="N258" s="97"/>
      <c r="O258" s="97"/>
      <c r="P258" s="97"/>
      <c r="Q258" s="97"/>
      <c r="R258" s="97"/>
      <c r="S258" s="97"/>
      <c r="T258" s="97"/>
      <c r="U258" s="97"/>
      <c r="V258" s="97"/>
      <c r="W258" s="97"/>
      <c r="X258" s="97"/>
      <c r="Y258" s="97"/>
      <c r="Z258" s="97"/>
      <c r="AA258" s="97"/>
      <c r="AB258" s="97"/>
      <c r="AC258" s="97"/>
      <c r="AD258" s="97"/>
      <c r="AE258" s="97"/>
      <c r="AF258" s="97"/>
      <c r="AG258" s="97"/>
      <c r="AH258" s="97"/>
      <c r="AI258" s="97"/>
      <c r="AJ258" s="97"/>
      <c r="AK258" s="97"/>
      <c r="AL258" s="97"/>
      <c r="AM258" s="97"/>
      <c r="AN258" s="97"/>
      <c r="AO258" s="97"/>
      <c r="AP258" s="97"/>
      <c r="AQ258" s="97"/>
      <c r="AR258" s="97"/>
      <c r="AS258" s="97"/>
      <c r="AT258" s="98"/>
      <c r="AU258" s="579"/>
      <c r="AV258" s="580"/>
      <c r="AW258" s="581"/>
    </row>
    <row r="259" spans="1:49" ht="15.75" customHeight="1" thickBot="1" x14ac:dyDescent="0.3">
      <c r="A259" s="570"/>
      <c r="B259" s="571"/>
      <c r="C259" s="571"/>
      <c r="D259" s="571"/>
      <c r="E259" s="571"/>
      <c r="F259" s="571"/>
      <c r="G259" s="571"/>
      <c r="H259" s="571"/>
      <c r="I259" s="571"/>
      <c r="J259" s="102"/>
      <c r="K259" s="91"/>
      <c r="L259" s="99"/>
      <c r="M259" s="99"/>
      <c r="N259" s="99"/>
      <c r="O259" s="99"/>
      <c r="P259" s="99"/>
      <c r="Q259" s="99"/>
      <c r="R259" s="99"/>
      <c r="S259" s="99"/>
      <c r="T259" s="99"/>
      <c r="U259" s="99"/>
      <c r="V259" s="99"/>
      <c r="W259" s="99"/>
      <c r="X259" s="99"/>
      <c r="Y259" s="99"/>
      <c r="Z259" s="99"/>
      <c r="AA259" s="99"/>
      <c r="AB259" s="99"/>
      <c r="AC259" s="99"/>
      <c r="AD259" s="99"/>
      <c r="AE259" s="99"/>
      <c r="AF259" s="99"/>
      <c r="AG259" s="99"/>
      <c r="AH259" s="99"/>
      <c r="AI259" s="99"/>
      <c r="AJ259" s="99"/>
      <c r="AK259" s="99"/>
      <c r="AL259" s="99"/>
      <c r="AM259" s="99"/>
      <c r="AN259" s="99"/>
      <c r="AO259" s="99"/>
      <c r="AP259" s="99"/>
      <c r="AQ259" s="99"/>
      <c r="AR259" s="99"/>
      <c r="AS259" s="99"/>
      <c r="AT259" s="100"/>
      <c r="AU259" s="572"/>
      <c r="AV259" s="573"/>
      <c r="AW259" s="574"/>
    </row>
    <row r="260" spans="1:49" ht="15.75" customHeight="1" x14ac:dyDescent="0.25">
      <c r="A260" s="575" t="e">
        <f>A255</f>
        <v>#N/A</v>
      </c>
      <c r="B260" s="576"/>
      <c r="C260" s="576"/>
      <c r="D260" s="576"/>
      <c r="E260" s="576"/>
      <c r="F260" s="576"/>
      <c r="G260" s="576"/>
      <c r="H260" s="576"/>
      <c r="I260" s="576"/>
      <c r="J260" s="101"/>
      <c r="K260" s="89"/>
      <c r="L260" s="97"/>
      <c r="M260" s="97"/>
      <c r="N260" s="97"/>
      <c r="O260" s="97"/>
      <c r="P260" s="97"/>
      <c r="Q260" s="97"/>
      <c r="R260" s="97"/>
      <c r="S260" s="97"/>
      <c r="T260" s="97"/>
      <c r="U260" s="97"/>
      <c r="V260" s="97"/>
      <c r="W260" s="97"/>
      <c r="X260" s="97"/>
      <c r="Y260" s="97"/>
      <c r="Z260" s="97"/>
      <c r="AA260" s="97"/>
      <c r="AB260" s="97"/>
      <c r="AC260" s="97"/>
      <c r="AD260" s="97"/>
      <c r="AE260" s="97"/>
      <c r="AF260" s="97"/>
      <c r="AG260" s="97"/>
      <c r="AH260" s="97"/>
      <c r="AI260" s="97"/>
      <c r="AJ260" s="97"/>
      <c r="AK260" s="97"/>
      <c r="AL260" s="97"/>
      <c r="AM260" s="97"/>
      <c r="AN260" s="97"/>
      <c r="AO260" s="97"/>
      <c r="AP260" s="97"/>
      <c r="AQ260" s="97"/>
      <c r="AR260" s="97"/>
      <c r="AS260" s="97"/>
      <c r="AT260" s="98"/>
      <c r="AU260" s="386"/>
      <c r="AV260" s="577"/>
      <c r="AW260" s="578"/>
    </row>
    <row r="261" spans="1:49" ht="15.75" customHeight="1" thickBot="1" x14ac:dyDescent="0.3">
      <c r="A261" s="570"/>
      <c r="B261" s="571"/>
      <c r="C261" s="571"/>
      <c r="D261" s="571"/>
      <c r="E261" s="571"/>
      <c r="F261" s="571"/>
      <c r="G261" s="571"/>
      <c r="H261" s="571"/>
      <c r="I261" s="571"/>
      <c r="J261" s="102"/>
      <c r="K261" s="91"/>
      <c r="L261" s="99"/>
      <c r="M261" s="99"/>
      <c r="N261" s="99"/>
      <c r="O261" s="99"/>
      <c r="P261" s="99"/>
      <c r="Q261" s="99"/>
      <c r="R261" s="99"/>
      <c r="S261" s="99"/>
      <c r="T261" s="99"/>
      <c r="U261" s="99"/>
      <c r="V261" s="99"/>
      <c r="W261" s="99"/>
      <c r="X261" s="99"/>
      <c r="Y261" s="99"/>
      <c r="Z261" s="99"/>
      <c r="AA261" s="99"/>
      <c r="AB261" s="99"/>
      <c r="AC261" s="99"/>
      <c r="AD261" s="99"/>
      <c r="AE261" s="99"/>
      <c r="AF261" s="99"/>
      <c r="AG261" s="99"/>
      <c r="AH261" s="99"/>
      <c r="AI261" s="99"/>
      <c r="AJ261" s="99"/>
      <c r="AK261" s="99"/>
      <c r="AL261" s="99"/>
      <c r="AM261" s="99"/>
      <c r="AN261" s="99"/>
      <c r="AO261" s="99"/>
      <c r="AP261" s="99"/>
      <c r="AQ261" s="99"/>
      <c r="AR261" s="99"/>
      <c r="AS261" s="99"/>
      <c r="AT261" s="100"/>
      <c r="AU261" s="572"/>
      <c r="AV261" s="573"/>
      <c r="AW261" s="574"/>
    </row>
    <row r="262" spans="1:49" ht="4.5" customHeight="1" thickBot="1" x14ac:dyDescent="0.3">
      <c r="A262" s="88"/>
      <c r="B262" s="88"/>
      <c r="C262" s="88"/>
      <c r="D262" s="88"/>
      <c r="E262" s="88"/>
      <c r="F262" s="88"/>
      <c r="G262" s="88"/>
      <c r="H262" s="88"/>
      <c r="I262" s="88"/>
    </row>
    <row r="263" spans="1:49" ht="15.75" customHeight="1" x14ac:dyDescent="0.25">
      <c r="A263" s="575" t="e">
        <f>A258</f>
        <v>#N/A</v>
      </c>
      <c r="B263" s="576"/>
      <c r="C263" s="576"/>
      <c r="D263" s="576"/>
      <c r="E263" s="576"/>
      <c r="F263" s="576"/>
      <c r="G263" s="576"/>
      <c r="H263" s="576"/>
      <c r="I263" s="576"/>
      <c r="J263" s="101"/>
      <c r="K263" s="89"/>
      <c r="L263" s="97"/>
      <c r="M263" s="97"/>
      <c r="N263" s="97"/>
      <c r="O263" s="97"/>
      <c r="P263" s="97"/>
      <c r="Q263" s="97"/>
      <c r="R263" s="97"/>
      <c r="S263" s="97"/>
      <c r="T263" s="97"/>
      <c r="U263" s="97"/>
      <c r="V263" s="97"/>
      <c r="W263" s="97"/>
      <c r="X263" s="97"/>
      <c r="Y263" s="97"/>
      <c r="Z263" s="97"/>
      <c r="AA263" s="97"/>
      <c r="AB263" s="97"/>
      <c r="AC263" s="97"/>
      <c r="AD263" s="97"/>
      <c r="AE263" s="97"/>
      <c r="AF263" s="97"/>
      <c r="AG263" s="97"/>
      <c r="AH263" s="97"/>
      <c r="AI263" s="97"/>
      <c r="AJ263" s="97"/>
      <c r="AK263" s="97"/>
      <c r="AL263" s="97"/>
      <c r="AM263" s="97"/>
      <c r="AN263" s="97"/>
      <c r="AO263" s="97"/>
      <c r="AP263" s="97"/>
      <c r="AQ263" s="97"/>
      <c r="AR263" s="97"/>
      <c r="AS263" s="97"/>
      <c r="AT263" s="98"/>
      <c r="AU263" s="579"/>
      <c r="AV263" s="580"/>
      <c r="AW263" s="581"/>
    </row>
    <row r="264" spans="1:49" ht="15.75" customHeight="1" thickBot="1" x14ac:dyDescent="0.3">
      <c r="A264" s="570"/>
      <c r="B264" s="571"/>
      <c r="C264" s="571"/>
      <c r="D264" s="571"/>
      <c r="E264" s="571"/>
      <c r="F264" s="571"/>
      <c r="G264" s="571"/>
      <c r="H264" s="571"/>
      <c r="I264" s="571"/>
      <c r="J264" s="102"/>
      <c r="K264" s="91"/>
      <c r="L264" s="99"/>
      <c r="M264" s="99"/>
      <c r="N264" s="99"/>
      <c r="O264" s="99"/>
      <c r="P264" s="99"/>
      <c r="Q264" s="99"/>
      <c r="R264" s="99"/>
      <c r="S264" s="99"/>
      <c r="T264" s="99"/>
      <c r="U264" s="99"/>
      <c r="V264" s="99"/>
      <c r="W264" s="99"/>
      <c r="X264" s="99"/>
      <c r="Y264" s="99"/>
      <c r="Z264" s="99"/>
      <c r="AA264" s="99"/>
      <c r="AB264" s="99"/>
      <c r="AC264" s="99"/>
      <c r="AD264" s="99"/>
      <c r="AE264" s="99"/>
      <c r="AF264" s="99"/>
      <c r="AG264" s="99"/>
      <c r="AH264" s="99"/>
      <c r="AI264" s="99"/>
      <c r="AJ264" s="99"/>
      <c r="AK264" s="99"/>
      <c r="AL264" s="99"/>
      <c r="AM264" s="99"/>
      <c r="AN264" s="99"/>
      <c r="AO264" s="99"/>
      <c r="AP264" s="99"/>
      <c r="AQ264" s="99"/>
      <c r="AR264" s="99"/>
      <c r="AS264" s="99"/>
      <c r="AT264" s="100"/>
      <c r="AU264" s="572"/>
      <c r="AV264" s="573"/>
      <c r="AW264" s="574"/>
    </row>
    <row r="265" spans="1:49" ht="15.75" customHeight="1" x14ac:dyDescent="0.25">
      <c r="A265" s="575" t="e">
        <f>A260</f>
        <v>#N/A</v>
      </c>
      <c r="B265" s="576"/>
      <c r="C265" s="576"/>
      <c r="D265" s="576"/>
      <c r="E265" s="576"/>
      <c r="F265" s="576"/>
      <c r="G265" s="576"/>
      <c r="H265" s="576"/>
      <c r="I265" s="576"/>
      <c r="J265" s="101"/>
      <c r="K265" s="89"/>
      <c r="L265" s="97"/>
      <c r="M265" s="97"/>
      <c r="N265" s="97"/>
      <c r="O265" s="97"/>
      <c r="P265" s="97"/>
      <c r="Q265" s="97"/>
      <c r="R265" s="97"/>
      <c r="S265" s="97"/>
      <c r="T265" s="97"/>
      <c r="U265" s="97"/>
      <c r="V265" s="97"/>
      <c r="W265" s="97"/>
      <c r="X265" s="97"/>
      <c r="Y265" s="97"/>
      <c r="Z265" s="97"/>
      <c r="AA265" s="97"/>
      <c r="AB265" s="97"/>
      <c r="AC265" s="97"/>
      <c r="AD265" s="97"/>
      <c r="AE265" s="97"/>
      <c r="AF265" s="97"/>
      <c r="AG265" s="97"/>
      <c r="AH265" s="97"/>
      <c r="AI265" s="97"/>
      <c r="AJ265" s="97"/>
      <c r="AK265" s="97"/>
      <c r="AL265" s="97"/>
      <c r="AM265" s="97"/>
      <c r="AN265" s="97"/>
      <c r="AO265" s="97"/>
      <c r="AP265" s="97"/>
      <c r="AQ265" s="97"/>
      <c r="AR265" s="97"/>
      <c r="AS265" s="97"/>
      <c r="AT265" s="98"/>
      <c r="AU265" s="386"/>
      <c r="AV265" s="577"/>
      <c r="AW265" s="578"/>
    </row>
    <row r="266" spans="1:49" ht="15.75" customHeight="1" thickBot="1" x14ac:dyDescent="0.3">
      <c r="A266" s="570"/>
      <c r="B266" s="571"/>
      <c r="C266" s="571"/>
      <c r="D266" s="571"/>
      <c r="E266" s="571"/>
      <c r="F266" s="571"/>
      <c r="G266" s="571"/>
      <c r="H266" s="571"/>
      <c r="I266" s="571"/>
      <c r="J266" s="102"/>
      <c r="K266" s="91"/>
      <c r="L266" s="99"/>
      <c r="M266" s="99"/>
      <c r="N266" s="99"/>
      <c r="O266" s="99"/>
      <c r="P266" s="99"/>
      <c r="Q266" s="99"/>
      <c r="R266" s="99"/>
      <c r="S266" s="99"/>
      <c r="T266" s="99"/>
      <c r="U266" s="99"/>
      <c r="V266" s="99"/>
      <c r="W266" s="99"/>
      <c r="X266" s="99"/>
      <c r="Y266" s="99"/>
      <c r="Z266" s="99"/>
      <c r="AA266" s="99"/>
      <c r="AB266" s="99"/>
      <c r="AC266" s="99"/>
      <c r="AD266" s="99"/>
      <c r="AE266" s="99"/>
      <c r="AF266" s="99"/>
      <c r="AG266" s="99"/>
      <c r="AH266" s="99"/>
      <c r="AI266" s="99"/>
      <c r="AJ266" s="99"/>
      <c r="AK266" s="99"/>
      <c r="AL266" s="99"/>
      <c r="AM266" s="99"/>
      <c r="AN266" s="99"/>
      <c r="AO266" s="99"/>
      <c r="AP266" s="99"/>
      <c r="AQ266" s="99"/>
      <c r="AR266" s="99"/>
      <c r="AS266" s="99"/>
      <c r="AT266" s="100"/>
      <c r="AU266" s="572"/>
      <c r="AV266" s="573"/>
      <c r="AW266" s="574"/>
    </row>
    <row r="267" spans="1:49" ht="4.5" customHeight="1" thickBot="1" x14ac:dyDescent="0.3">
      <c r="A267" s="88"/>
      <c r="B267" s="88"/>
      <c r="C267" s="88"/>
      <c r="D267" s="88"/>
      <c r="E267" s="88"/>
      <c r="F267" s="88"/>
      <c r="G267" s="88"/>
      <c r="H267" s="88"/>
      <c r="I267" s="88"/>
    </row>
    <row r="268" spans="1:49" ht="15.75" customHeight="1" x14ac:dyDescent="0.25">
      <c r="A268" s="575" t="e">
        <f>A263</f>
        <v>#N/A</v>
      </c>
      <c r="B268" s="576"/>
      <c r="C268" s="576"/>
      <c r="D268" s="576"/>
      <c r="E268" s="576"/>
      <c r="F268" s="576"/>
      <c r="G268" s="576"/>
      <c r="H268" s="576"/>
      <c r="I268" s="576"/>
      <c r="J268" s="101"/>
      <c r="K268" s="89"/>
      <c r="L268" s="97"/>
      <c r="M268" s="97"/>
      <c r="N268" s="97"/>
      <c r="O268" s="97"/>
      <c r="P268" s="97"/>
      <c r="Q268" s="97"/>
      <c r="R268" s="97"/>
      <c r="S268" s="97"/>
      <c r="T268" s="97"/>
      <c r="U268" s="97"/>
      <c r="V268" s="97"/>
      <c r="W268" s="97"/>
      <c r="X268" s="97"/>
      <c r="Y268" s="97"/>
      <c r="Z268" s="97"/>
      <c r="AA268" s="97"/>
      <c r="AB268" s="97"/>
      <c r="AC268" s="97"/>
      <c r="AD268" s="97"/>
      <c r="AE268" s="97"/>
      <c r="AF268" s="97"/>
      <c r="AG268" s="97"/>
      <c r="AH268" s="97"/>
      <c r="AI268" s="97"/>
      <c r="AJ268" s="97"/>
      <c r="AK268" s="97"/>
      <c r="AL268" s="97"/>
      <c r="AM268" s="97"/>
      <c r="AN268" s="97"/>
      <c r="AO268" s="97"/>
      <c r="AP268" s="97"/>
      <c r="AQ268" s="97"/>
      <c r="AR268" s="97"/>
      <c r="AS268" s="97"/>
      <c r="AT268" s="98"/>
      <c r="AU268" s="579"/>
      <c r="AV268" s="580"/>
      <c r="AW268" s="581"/>
    </row>
    <row r="269" spans="1:49" ht="15.75" customHeight="1" thickBot="1" x14ac:dyDescent="0.3">
      <c r="A269" s="570"/>
      <c r="B269" s="571"/>
      <c r="C269" s="571"/>
      <c r="D269" s="571"/>
      <c r="E269" s="571"/>
      <c r="F269" s="571"/>
      <c r="G269" s="571"/>
      <c r="H269" s="571"/>
      <c r="I269" s="571"/>
      <c r="J269" s="102"/>
      <c r="K269" s="91"/>
      <c r="L269" s="99"/>
      <c r="M269" s="99"/>
      <c r="N269" s="99"/>
      <c r="O269" s="99"/>
      <c r="P269" s="99"/>
      <c r="Q269" s="99"/>
      <c r="R269" s="99"/>
      <c r="S269" s="99"/>
      <c r="T269" s="99"/>
      <c r="U269" s="99"/>
      <c r="V269" s="99"/>
      <c r="W269" s="99"/>
      <c r="X269" s="99"/>
      <c r="Y269" s="99"/>
      <c r="Z269" s="99"/>
      <c r="AA269" s="99"/>
      <c r="AB269" s="99"/>
      <c r="AC269" s="99"/>
      <c r="AD269" s="99"/>
      <c r="AE269" s="99"/>
      <c r="AF269" s="99"/>
      <c r="AG269" s="99"/>
      <c r="AH269" s="99"/>
      <c r="AI269" s="99"/>
      <c r="AJ269" s="99"/>
      <c r="AK269" s="99"/>
      <c r="AL269" s="99"/>
      <c r="AM269" s="99"/>
      <c r="AN269" s="99"/>
      <c r="AO269" s="99"/>
      <c r="AP269" s="99"/>
      <c r="AQ269" s="99"/>
      <c r="AR269" s="99"/>
      <c r="AS269" s="99"/>
      <c r="AT269" s="100"/>
      <c r="AU269" s="572"/>
      <c r="AV269" s="573"/>
      <c r="AW269" s="574"/>
    </row>
    <row r="270" spans="1:49" ht="15.75" customHeight="1" x14ac:dyDescent="0.25">
      <c r="A270" s="575" t="e">
        <f>A265</f>
        <v>#N/A</v>
      </c>
      <c r="B270" s="576"/>
      <c r="C270" s="576"/>
      <c r="D270" s="576"/>
      <c r="E270" s="576"/>
      <c r="F270" s="576"/>
      <c r="G270" s="576"/>
      <c r="H270" s="576"/>
      <c r="I270" s="576"/>
      <c r="J270" s="101"/>
      <c r="K270" s="89"/>
      <c r="L270" s="97"/>
      <c r="M270" s="97"/>
      <c r="N270" s="97"/>
      <c r="O270" s="97"/>
      <c r="P270" s="97"/>
      <c r="Q270" s="97"/>
      <c r="R270" s="97"/>
      <c r="S270" s="97"/>
      <c r="T270" s="97"/>
      <c r="U270" s="97"/>
      <c r="V270" s="97"/>
      <c r="W270" s="97"/>
      <c r="X270" s="97"/>
      <c r="Y270" s="97"/>
      <c r="Z270" s="97"/>
      <c r="AA270" s="97"/>
      <c r="AB270" s="97"/>
      <c r="AC270" s="97"/>
      <c r="AD270" s="97"/>
      <c r="AE270" s="97"/>
      <c r="AF270" s="97"/>
      <c r="AG270" s="97"/>
      <c r="AH270" s="97"/>
      <c r="AI270" s="97"/>
      <c r="AJ270" s="97"/>
      <c r="AK270" s="97"/>
      <c r="AL270" s="97"/>
      <c r="AM270" s="97"/>
      <c r="AN270" s="97"/>
      <c r="AO270" s="97"/>
      <c r="AP270" s="97"/>
      <c r="AQ270" s="97"/>
      <c r="AR270" s="97"/>
      <c r="AS270" s="97"/>
      <c r="AT270" s="98"/>
      <c r="AU270" s="386"/>
      <c r="AV270" s="577"/>
      <c r="AW270" s="578"/>
    </row>
    <row r="271" spans="1:49" ht="15.75" customHeight="1" thickBot="1" x14ac:dyDescent="0.3">
      <c r="A271" s="570"/>
      <c r="B271" s="571"/>
      <c r="C271" s="571"/>
      <c r="D271" s="571"/>
      <c r="E271" s="571"/>
      <c r="F271" s="571"/>
      <c r="G271" s="571"/>
      <c r="H271" s="571"/>
      <c r="I271" s="571"/>
      <c r="J271" s="102"/>
      <c r="K271" s="91"/>
      <c r="L271" s="99"/>
      <c r="M271" s="99"/>
      <c r="N271" s="99"/>
      <c r="O271" s="99"/>
      <c r="P271" s="99"/>
      <c r="Q271" s="99"/>
      <c r="R271" s="99"/>
      <c r="S271" s="99"/>
      <c r="T271" s="99"/>
      <c r="U271" s="99"/>
      <c r="V271" s="99"/>
      <c r="W271" s="99"/>
      <c r="X271" s="99"/>
      <c r="Y271" s="99"/>
      <c r="Z271" s="99"/>
      <c r="AA271" s="99"/>
      <c r="AB271" s="99"/>
      <c r="AC271" s="99"/>
      <c r="AD271" s="99"/>
      <c r="AE271" s="99"/>
      <c r="AF271" s="99"/>
      <c r="AG271" s="99"/>
      <c r="AH271" s="99"/>
      <c r="AI271" s="99"/>
      <c r="AJ271" s="99"/>
      <c r="AK271" s="99"/>
      <c r="AL271" s="99"/>
      <c r="AM271" s="99"/>
      <c r="AN271" s="99"/>
      <c r="AO271" s="99"/>
      <c r="AP271" s="99"/>
      <c r="AQ271" s="99"/>
      <c r="AR271" s="99"/>
      <c r="AS271" s="99"/>
      <c r="AT271" s="100"/>
      <c r="AU271" s="572"/>
      <c r="AV271" s="573"/>
      <c r="AW271" s="574"/>
    </row>
    <row r="272" spans="1:49" ht="4.5" customHeight="1" thickBot="1" x14ac:dyDescent="0.3">
      <c r="A272" s="88"/>
      <c r="B272" s="88"/>
      <c r="C272" s="88"/>
      <c r="D272" s="88"/>
      <c r="E272" s="88"/>
      <c r="F272" s="88"/>
      <c r="G272" s="88"/>
      <c r="H272" s="88"/>
      <c r="I272" s="88"/>
    </row>
    <row r="273" spans="1:49" ht="15.75" customHeight="1" x14ac:dyDescent="0.25">
      <c r="A273" s="575" t="e">
        <f>A268</f>
        <v>#N/A</v>
      </c>
      <c r="B273" s="576"/>
      <c r="C273" s="576"/>
      <c r="D273" s="576"/>
      <c r="E273" s="576"/>
      <c r="F273" s="576"/>
      <c r="G273" s="576"/>
      <c r="H273" s="576"/>
      <c r="I273" s="576"/>
      <c r="J273" s="101"/>
      <c r="K273" s="89"/>
      <c r="L273" s="97"/>
      <c r="M273" s="97"/>
      <c r="N273" s="97"/>
      <c r="O273" s="97"/>
      <c r="P273" s="97"/>
      <c r="Q273" s="97"/>
      <c r="R273" s="97"/>
      <c r="S273" s="97"/>
      <c r="T273" s="97"/>
      <c r="U273" s="97"/>
      <c r="V273" s="97"/>
      <c r="W273" s="97"/>
      <c r="X273" s="97"/>
      <c r="Y273" s="97"/>
      <c r="Z273" s="97"/>
      <c r="AA273" s="97"/>
      <c r="AB273" s="97"/>
      <c r="AC273" s="97"/>
      <c r="AD273" s="97"/>
      <c r="AE273" s="97"/>
      <c r="AF273" s="97"/>
      <c r="AG273" s="97"/>
      <c r="AH273" s="97"/>
      <c r="AI273" s="97"/>
      <c r="AJ273" s="97"/>
      <c r="AK273" s="97"/>
      <c r="AL273" s="97"/>
      <c r="AM273" s="97"/>
      <c r="AN273" s="97"/>
      <c r="AO273" s="97"/>
      <c r="AP273" s="97"/>
      <c r="AQ273" s="97"/>
      <c r="AR273" s="97"/>
      <c r="AS273" s="97"/>
      <c r="AT273" s="98"/>
      <c r="AU273" s="579"/>
      <c r="AV273" s="580"/>
      <c r="AW273" s="581"/>
    </row>
    <row r="274" spans="1:49" ht="15.75" customHeight="1" thickBot="1" x14ac:dyDescent="0.3">
      <c r="A274" s="570"/>
      <c r="B274" s="571"/>
      <c r="C274" s="571"/>
      <c r="D274" s="571"/>
      <c r="E274" s="571"/>
      <c r="F274" s="571"/>
      <c r="G274" s="571"/>
      <c r="H274" s="571"/>
      <c r="I274" s="571"/>
      <c r="J274" s="102"/>
      <c r="K274" s="91"/>
      <c r="L274" s="99"/>
      <c r="M274" s="99"/>
      <c r="N274" s="99"/>
      <c r="O274" s="99"/>
      <c r="P274" s="99"/>
      <c r="Q274" s="99"/>
      <c r="R274" s="99"/>
      <c r="S274" s="99"/>
      <c r="T274" s="99"/>
      <c r="U274" s="99"/>
      <c r="V274" s="99"/>
      <c r="W274" s="99"/>
      <c r="X274" s="99"/>
      <c r="Y274" s="99"/>
      <c r="Z274" s="99"/>
      <c r="AA274" s="99"/>
      <c r="AB274" s="99"/>
      <c r="AC274" s="99"/>
      <c r="AD274" s="99"/>
      <c r="AE274" s="99"/>
      <c r="AF274" s="99"/>
      <c r="AG274" s="99"/>
      <c r="AH274" s="99"/>
      <c r="AI274" s="99"/>
      <c r="AJ274" s="99"/>
      <c r="AK274" s="99"/>
      <c r="AL274" s="99"/>
      <c r="AM274" s="99"/>
      <c r="AN274" s="99"/>
      <c r="AO274" s="99"/>
      <c r="AP274" s="99"/>
      <c r="AQ274" s="99"/>
      <c r="AR274" s="99"/>
      <c r="AS274" s="99"/>
      <c r="AT274" s="100"/>
      <c r="AU274" s="572"/>
      <c r="AV274" s="573"/>
      <c r="AW274" s="574"/>
    </row>
    <row r="275" spans="1:49" ht="15.75" customHeight="1" x14ac:dyDescent="0.25">
      <c r="A275" s="575" t="e">
        <f>A270</f>
        <v>#N/A</v>
      </c>
      <c r="B275" s="576"/>
      <c r="C275" s="576"/>
      <c r="D275" s="576"/>
      <c r="E275" s="576"/>
      <c r="F275" s="576"/>
      <c r="G275" s="576"/>
      <c r="H275" s="576"/>
      <c r="I275" s="576"/>
      <c r="J275" s="101"/>
      <c r="K275" s="89"/>
      <c r="L275" s="97"/>
      <c r="M275" s="97"/>
      <c r="N275" s="97"/>
      <c r="O275" s="97"/>
      <c r="P275" s="97"/>
      <c r="Q275" s="97"/>
      <c r="R275" s="97"/>
      <c r="S275" s="97"/>
      <c r="T275" s="97"/>
      <c r="U275" s="97"/>
      <c r="V275" s="97"/>
      <c r="W275" s="97"/>
      <c r="X275" s="97"/>
      <c r="Y275" s="97"/>
      <c r="Z275" s="97"/>
      <c r="AA275" s="97"/>
      <c r="AB275" s="97"/>
      <c r="AC275" s="97"/>
      <c r="AD275" s="97"/>
      <c r="AE275" s="97"/>
      <c r="AF275" s="97"/>
      <c r="AG275" s="97"/>
      <c r="AH275" s="97"/>
      <c r="AI275" s="97"/>
      <c r="AJ275" s="97"/>
      <c r="AK275" s="97"/>
      <c r="AL275" s="97"/>
      <c r="AM275" s="97"/>
      <c r="AN275" s="97"/>
      <c r="AO275" s="97"/>
      <c r="AP275" s="97"/>
      <c r="AQ275" s="97"/>
      <c r="AR275" s="97"/>
      <c r="AS275" s="97"/>
      <c r="AT275" s="98"/>
      <c r="AU275" s="386"/>
      <c r="AV275" s="577"/>
      <c r="AW275" s="578"/>
    </row>
    <row r="276" spans="1:49" ht="15.75" customHeight="1" thickBot="1" x14ac:dyDescent="0.3">
      <c r="A276" s="570"/>
      <c r="B276" s="571"/>
      <c r="C276" s="571"/>
      <c r="D276" s="571"/>
      <c r="E276" s="571"/>
      <c r="F276" s="571"/>
      <c r="G276" s="571"/>
      <c r="H276" s="571"/>
      <c r="I276" s="571"/>
      <c r="J276" s="102"/>
      <c r="K276" s="91"/>
      <c r="L276" s="99"/>
      <c r="M276" s="99"/>
      <c r="N276" s="99"/>
      <c r="O276" s="99"/>
      <c r="P276" s="99"/>
      <c r="Q276" s="99"/>
      <c r="R276" s="99"/>
      <c r="S276" s="99"/>
      <c r="T276" s="99"/>
      <c r="U276" s="99"/>
      <c r="V276" s="99"/>
      <c r="W276" s="99"/>
      <c r="X276" s="99"/>
      <c r="Y276" s="99"/>
      <c r="Z276" s="99"/>
      <c r="AA276" s="99"/>
      <c r="AB276" s="99"/>
      <c r="AC276" s="99"/>
      <c r="AD276" s="99"/>
      <c r="AE276" s="99"/>
      <c r="AF276" s="99"/>
      <c r="AG276" s="99"/>
      <c r="AH276" s="99"/>
      <c r="AI276" s="99"/>
      <c r="AJ276" s="99"/>
      <c r="AK276" s="99"/>
      <c r="AL276" s="99"/>
      <c r="AM276" s="99"/>
      <c r="AN276" s="99"/>
      <c r="AO276" s="99"/>
      <c r="AP276" s="99"/>
      <c r="AQ276" s="99"/>
      <c r="AR276" s="99"/>
      <c r="AS276" s="99"/>
      <c r="AT276" s="100"/>
      <c r="AU276" s="572"/>
      <c r="AV276" s="573"/>
      <c r="AW276" s="574"/>
    </row>
    <row r="277" spans="1:49" ht="4.5" customHeight="1" x14ac:dyDescent="0.25"/>
    <row r="280" spans="1:49" x14ac:dyDescent="0.25">
      <c r="M280" t="s">
        <v>340</v>
      </c>
      <c r="R280" s="103"/>
      <c r="S280" s="103"/>
      <c r="T280" s="103"/>
      <c r="U280" s="103"/>
      <c r="V280" s="103"/>
      <c r="W280" s="103"/>
      <c r="X280" s="103"/>
      <c r="Y280" s="103"/>
      <c r="Z280" s="103"/>
      <c r="AA280" s="103"/>
      <c r="AB280" s="103"/>
      <c r="AC280" s="103"/>
      <c r="AD280" s="103"/>
      <c r="AF280" t="s">
        <v>284</v>
      </c>
      <c r="AK280" s="103"/>
      <c r="AL280" s="103"/>
      <c r="AM280" s="103"/>
      <c r="AN280" s="103"/>
      <c r="AO280" s="103"/>
      <c r="AP280" s="103"/>
      <c r="AQ280" s="103"/>
      <c r="AR280" s="103"/>
      <c r="AS280" s="103"/>
      <c r="AT280" s="103"/>
      <c r="AU280" s="103"/>
      <c r="AV280" s="103"/>
      <c r="AW280" s="103"/>
    </row>
    <row r="281" spans="1:49" x14ac:dyDescent="0.25">
      <c r="A281" s="591" t="s">
        <v>208</v>
      </c>
      <c r="B281" s="591"/>
      <c r="C281" s="591"/>
      <c r="D281" s="591"/>
      <c r="E281" s="591"/>
      <c r="F281" s="591"/>
      <c r="G281" s="591"/>
      <c r="H281" s="591"/>
      <c r="I281" s="591"/>
      <c r="J281" s="591"/>
      <c r="K281" s="591"/>
      <c r="L281" s="591"/>
      <c r="M281" s="591"/>
      <c r="N281" s="591"/>
      <c r="O281" s="591"/>
      <c r="P281" s="591"/>
      <c r="Q281" s="591"/>
      <c r="R281" s="591"/>
      <c r="S281" s="591"/>
      <c r="T281" s="591"/>
      <c r="U281" s="591"/>
      <c r="V281" s="591"/>
      <c r="W281" s="591"/>
      <c r="X281" s="591"/>
      <c r="Y281" s="591"/>
      <c r="Z281" s="591"/>
      <c r="AA281" s="591"/>
      <c r="AB281" s="591"/>
      <c r="AC281" s="591"/>
      <c r="AD281" s="591"/>
      <c r="AE281" s="591"/>
      <c r="AF281" s="591"/>
      <c r="AG281" s="591"/>
      <c r="AH281" s="591"/>
      <c r="AI281" s="591"/>
      <c r="AJ281" s="591"/>
      <c r="AK281" s="591"/>
      <c r="AL281" s="591"/>
      <c r="AM281" s="591"/>
      <c r="AN281" s="591"/>
      <c r="AO281" s="591"/>
      <c r="AP281" s="591"/>
      <c r="AQ281" s="591"/>
      <c r="AR281" s="591"/>
      <c r="AS281" s="591"/>
      <c r="AT281" s="591"/>
      <c r="AU281" s="591"/>
      <c r="AV281" s="591"/>
      <c r="AW281" s="591"/>
    </row>
    <row r="282" spans="1:49" x14ac:dyDescent="0.25">
      <c r="A282" s="591"/>
      <c r="B282" s="591"/>
      <c r="C282" s="591"/>
      <c r="D282" s="591"/>
      <c r="E282" s="591"/>
      <c r="F282" s="591"/>
      <c r="G282" s="591"/>
      <c r="H282" s="591"/>
      <c r="I282" s="591"/>
      <c r="J282" s="591"/>
      <c r="K282" s="591"/>
      <c r="L282" s="591"/>
      <c r="M282" s="591"/>
      <c r="N282" s="591"/>
      <c r="O282" s="591"/>
      <c r="P282" s="591"/>
      <c r="Q282" s="591"/>
      <c r="R282" s="591"/>
      <c r="S282" s="591"/>
      <c r="T282" s="591"/>
      <c r="U282" s="591"/>
      <c r="V282" s="591"/>
      <c r="W282" s="591"/>
      <c r="X282" s="591"/>
      <c r="Y282" s="591"/>
      <c r="Z282" s="591"/>
      <c r="AA282" s="591"/>
      <c r="AB282" s="591"/>
      <c r="AC282" s="591"/>
      <c r="AD282" s="591"/>
      <c r="AE282" s="591"/>
      <c r="AF282" s="591"/>
      <c r="AG282" s="591"/>
      <c r="AH282" s="591"/>
      <c r="AI282" s="591"/>
      <c r="AJ282" s="591"/>
      <c r="AK282" s="591"/>
      <c r="AL282" s="591"/>
      <c r="AM282" s="591"/>
      <c r="AN282" s="591"/>
      <c r="AO282" s="591"/>
      <c r="AP282" s="591"/>
      <c r="AQ282" s="591"/>
      <c r="AR282" s="591"/>
      <c r="AS282" s="591"/>
      <c r="AT282" s="591"/>
      <c r="AU282" s="591"/>
      <c r="AV282" s="591"/>
      <c r="AW282" s="591"/>
    </row>
    <row r="283" spans="1:49" ht="15.75" thickBot="1" x14ac:dyDescent="0.3">
      <c r="B283" t="s">
        <v>331</v>
      </c>
      <c r="E283" s="583" t="str">
        <f>Spielbericht!D26</f>
        <v>3. HE</v>
      </c>
      <c r="F283" s="583"/>
      <c r="G283" s="583"/>
      <c r="H283" s="583"/>
      <c r="I283" s="208"/>
      <c r="J283" s="208"/>
      <c r="K283" s="208"/>
      <c r="L283" s="592" t="s">
        <v>334</v>
      </c>
      <c r="M283" s="592"/>
      <c r="N283" s="592"/>
      <c r="O283" s="592"/>
      <c r="P283" s="592"/>
      <c r="Q283" s="592"/>
      <c r="R283" s="592"/>
      <c r="S283" s="592"/>
      <c r="T283" s="592"/>
      <c r="U283" s="592"/>
      <c r="V283" s="592"/>
      <c r="W283" s="592"/>
      <c r="X283" s="592"/>
      <c r="Y283" s="592"/>
      <c r="Z283" s="592"/>
      <c r="AA283" s="592"/>
      <c r="AB283" s="592"/>
      <c r="AC283" s="592"/>
      <c r="AD283" s="592"/>
      <c r="AE283" s="592"/>
      <c r="AF283" s="592"/>
      <c r="AG283" s="592"/>
      <c r="AH283" s="592"/>
      <c r="AI283" s="592"/>
      <c r="AJ283" s="592"/>
      <c r="AK283" s="592"/>
      <c r="AL283" s="592"/>
    </row>
    <row r="284" spans="1:49" ht="15.75" thickBot="1" x14ac:dyDescent="0.3">
      <c r="B284" t="s">
        <v>336</v>
      </c>
      <c r="E284" s="583">
        <f ca="1">E246</f>
        <v>42418</v>
      </c>
      <c r="F284" s="208"/>
      <c r="G284" s="208"/>
      <c r="H284" s="208"/>
      <c r="I284" s="208"/>
      <c r="J284" s="208"/>
      <c r="K284" s="208"/>
      <c r="L284" s="94"/>
      <c r="M284" s="584" t="e">
        <f>Spielbericht!K26</f>
        <v>#N/A</v>
      </c>
      <c r="N284" s="585"/>
      <c r="O284" s="585"/>
      <c r="P284" s="585"/>
      <c r="Q284" s="585"/>
      <c r="R284" s="585"/>
      <c r="S284" s="585"/>
      <c r="T284" s="585"/>
      <c r="U284" s="586"/>
      <c r="V284" s="95" t="s">
        <v>337</v>
      </c>
      <c r="W284" s="580" t="str">
        <f>IF(Spielbericht!BN26="","",Spielbericht!BN26)</f>
        <v/>
      </c>
      <c r="X284" s="580"/>
      <c r="Y284" s="111" t="s">
        <v>301</v>
      </c>
      <c r="Z284" s="580" t="str">
        <f>IF(Spielbericht!BQ26="","",Spielbericht!BQ26)</f>
        <v/>
      </c>
      <c r="AA284" s="581"/>
      <c r="AB284" s="584" t="e">
        <f>Spielbericht!AN26</f>
        <v>#N/A</v>
      </c>
      <c r="AC284" s="585"/>
      <c r="AD284" s="585"/>
      <c r="AE284" s="585"/>
      <c r="AF284" s="585"/>
      <c r="AG284" s="585"/>
      <c r="AH284" s="585"/>
      <c r="AI284" s="585"/>
      <c r="AJ284" s="586"/>
      <c r="AK284" s="93"/>
      <c r="AM284" s="58" t="s">
        <v>29</v>
      </c>
      <c r="AQ284" s="4"/>
      <c r="AR284" s="4"/>
      <c r="AS284" s="4"/>
      <c r="AT284" s="4"/>
      <c r="AU284" s="4"/>
      <c r="AV284" s="4"/>
      <c r="AW284" s="4"/>
    </row>
    <row r="285" spans="1:49" ht="15.75" thickBot="1" x14ac:dyDescent="0.3">
      <c r="B285" t="s">
        <v>335</v>
      </c>
      <c r="E285" s="382"/>
      <c r="F285" s="382"/>
      <c r="G285" s="382"/>
      <c r="H285" s="382"/>
      <c r="I285" s="382"/>
      <c r="J285" s="382"/>
      <c r="K285" s="382"/>
      <c r="M285" s="587"/>
      <c r="N285" s="588"/>
      <c r="O285" s="588"/>
      <c r="P285" s="588"/>
      <c r="Q285" s="588"/>
      <c r="R285" s="588"/>
      <c r="S285" s="588"/>
      <c r="T285" s="588"/>
      <c r="U285" s="589"/>
      <c r="V285" s="96" t="s">
        <v>338</v>
      </c>
      <c r="W285" s="182" t="str">
        <f>IF(Spielbericht!BT26="","",Spielbericht!BT26)</f>
        <v/>
      </c>
      <c r="X285" s="182"/>
      <c r="Y285" s="109" t="s">
        <v>301</v>
      </c>
      <c r="Z285" s="182" t="str">
        <f>IF(Spielbericht!BW26="","",Spielbericht!BW26)</f>
        <v/>
      </c>
      <c r="AA285" s="590"/>
      <c r="AB285" s="587"/>
      <c r="AC285" s="588"/>
      <c r="AD285" s="588"/>
      <c r="AE285" s="588"/>
      <c r="AF285" s="588"/>
      <c r="AG285" s="588"/>
      <c r="AH285" s="588"/>
      <c r="AI285" s="588"/>
      <c r="AJ285" s="589"/>
    </row>
    <row r="286" spans="1:49" ht="15.75" thickBot="1" x14ac:dyDescent="0.3">
      <c r="B286" t="s">
        <v>33</v>
      </c>
      <c r="E286" s="582">
        <f ca="1">TODAY()</f>
        <v>42418</v>
      </c>
      <c r="F286" s="582"/>
      <c r="G286" s="582"/>
      <c r="H286" s="582"/>
      <c r="I286" s="582"/>
      <c r="J286" s="582"/>
      <c r="K286" s="582"/>
      <c r="M286" s="425">
        <f>M246</f>
        <v>0</v>
      </c>
      <c r="N286" s="426"/>
      <c r="O286" s="426"/>
      <c r="P286" s="426"/>
      <c r="Q286" s="426"/>
      <c r="R286" s="426"/>
      <c r="S286" s="426"/>
      <c r="T286" s="426"/>
      <c r="U286" s="427"/>
      <c r="V286" s="91" t="s">
        <v>339</v>
      </c>
      <c r="W286" s="573" t="str">
        <f>IF(Spielbericht!BZ26="","",Spielbericht!BZ26)</f>
        <v/>
      </c>
      <c r="X286" s="573"/>
      <c r="Y286" s="110" t="s">
        <v>301</v>
      </c>
      <c r="Z286" s="573" t="str">
        <f>IF(Spielbericht!CC26="","",Spielbericht!CC26)</f>
        <v/>
      </c>
      <c r="AA286" s="574"/>
      <c r="AB286" s="425">
        <f>AB246</f>
        <v>0</v>
      </c>
      <c r="AC286" s="426"/>
      <c r="AD286" s="426"/>
      <c r="AE286" s="426"/>
      <c r="AF286" s="426"/>
      <c r="AG286" s="426"/>
      <c r="AH286" s="426"/>
      <c r="AI286" s="426"/>
      <c r="AJ286" s="427"/>
      <c r="AK286" s="5"/>
      <c r="AL286" s="5"/>
      <c r="AM286" s="58" t="s">
        <v>332</v>
      </c>
      <c r="AN286" s="5"/>
      <c r="AO286" s="4"/>
      <c r="AP286" s="4"/>
      <c r="AQ286" s="4"/>
      <c r="AR286" s="4"/>
      <c r="AS286" s="58" t="s">
        <v>333</v>
      </c>
      <c r="AU286" s="4"/>
      <c r="AV286" s="4"/>
      <c r="AW286" s="4"/>
    </row>
    <row r="287" spans="1:49" ht="15" customHeight="1" thickBot="1" x14ac:dyDescent="0.3">
      <c r="A287" s="208"/>
      <c r="B287" s="208"/>
      <c r="C287" s="208"/>
      <c r="D287" s="208"/>
      <c r="E287" s="208"/>
      <c r="F287" s="208"/>
      <c r="G287" s="208"/>
      <c r="H287" s="208"/>
      <c r="I287" s="208"/>
      <c r="J287" s="208"/>
      <c r="K287" s="208"/>
      <c r="L287" s="208"/>
      <c r="M287" s="208"/>
      <c r="N287" s="208"/>
      <c r="O287" s="208"/>
      <c r="P287" s="208"/>
      <c r="Q287" s="208"/>
      <c r="R287" s="208"/>
      <c r="S287" s="208"/>
      <c r="T287" s="208"/>
      <c r="U287" s="208"/>
      <c r="V287" s="208"/>
      <c r="W287" s="208"/>
      <c r="X287" s="208"/>
      <c r="Z287" s="208"/>
      <c r="AA287" s="208"/>
      <c r="AB287" s="208"/>
      <c r="AC287" s="208"/>
      <c r="AD287" s="208"/>
      <c r="AE287" s="208"/>
      <c r="AF287" s="208"/>
      <c r="AG287" s="208"/>
      <c r="AH287" s="208"/>
      <c r="AI287" s="208"/>
      <c r="AJ287" s="208"/>
      <c r="AK287" s="208"/>
      <c r="AL287" s="208"/>
      <c r="AM287" s="208"/>
      <c r="AN287" s="208"/>
      <c r="AO287" s="208"/>
      <c r="AP287" s="208"/>
      <c r="AQ287" s="208"/>
      <c r="AR287" s="208"/>
      <c r="AS287" s="208"/>
      <c r="AT287" s="208"/>
      <c r="AU287" s="208"/>
      <c r="AV287" s="208"/>
      <c r="AW287" s="208"/>
    </row>
    <row r="288" spans="1:49" ht="15.75" customHeight="1" x14ac:dyDescent="0.25">
      <c r="A288" s="575" t="e">
        <f>M284</f>
        <v>#N/A</v>
      </c>
      <c r="B288" s="576"/>
      <c r="C288" s="576"/>
      <c r="D288" s="576"/>
      <c r="E288" s="576"/>
      <c r="F288" s="576"/>
      <c r="G288" s="576"/>
      <c r="H288" s="576"/>
      <c r="I288" s="576"/>
      <c r="J288" s="101"/>
      <c r="K288" s="89"/>
      <c r="L288" s="97"/>
      <c r="M288" s="97"/>
      <c r="N288" s="97"/>
      <c r="O288" s="97"/>
      <c r="P288" s="97"/>
      <c r="Q288" s="97"/>
      <c r="R288" s="97"/>
      <c r="S288" s="97"/>
      <c r="T288" s="97"/>
      <c r="U288" s="97"/>
      <c r="V288" s="97"/>
      <c r="W288" s="97"/>
      <c r="X288" s="97"/>
      <c r="Y288" s="97"/>
      <c r="Z288" s="97"/>
      <c r="AA288" s="97"/>
      <c r="AB288" s="97"/>
      <c r="AC288" s="97"/>
      <c r="AD288" s="97"/>
      <c r="AE288" s="97"/>
      <c r="AF288" s="97"/>
      <c r="AG288" s="97"/>
      <c r="AH288" s="97"/>
      <c r="AI288" s="97"/>
      <c r="AJ288" s="97"/>
      <c r="AK288" s="97"/>
      <c r="AL288" s="97"/>
      <c r="AM288" s="97"/>
      <c r="AN288" s="97"/>
      <c r="AO288" s="97"/>
      <c r="AP288" s="97"/>
      <c r="AQ288" s="97"/>
      <c r="AR288" s="97"/>
      <c r="AS288" s="97"/>
      <c r="AT288" s="98"/>
      <c r="AU288" s="579"/>
      <c r="AV288" s="580"/>
      <c r="AW288" s="581"/>
    </row>
    <row r="289" spans="1:49" ht="15.75" customHeight="1" thickBot="1" x14ac:dyDescent="0.3">
      <c r="A289" s="570"/>
      <c r="B289" s="571"/>
      <c r="C289" s="571"/>
      <c r="D289" s="571"/>
      <c r="E289" s="571"/>
      <c r="F289" s="571"/>
      <c r="G289" s="571"/>
      <c r="H289" s="571"/>
      <c r="I289" s="571"/>
      <c r="J289" s="102"/>
      <c r="K289" s="91"/>
      <c r="L289" s="99"/>
      <c r="M289" s="99"/>
      <c r="N289" s="99"/>
      <c r="O289" s="99"/>
      <c r="P289" s="99"/>
      <c r="Q289" s="99"/>
      <c r="R289" s="99"/>
      <c r="S289" s="99"/>
      <c r="T289" s="99"/>
      <c r="U289" s="99"/>
      <c r="V289" s="99"/>
      <c r="W289" s="99"/>
      <c r="X289" s="99"/>
      <c r="Y289" s="99"/>
      <c r="Z289" s="99"/>
      <c r="AA289" s="99"/>
      <c r="AB289" s="99"/>
      <c r="AC289" s="99"/>
      <c r="AD289" s="99"/>
      <c r="AE289" s="99"/>
      <c r="AF289" s="99"/>
      <c r="AG289" s="99"/>
      <c r="AH289" s="99"/>
      <c r="AI289" s="99"/>
      <c r="AJ289" s="99"/>
      <c r="AK289" s="99"/>
      <c r="AL289" s="99"/>
      <c r="AM289" s="99"/>
      <c r="AN289" s="99"/>
      <c r="AO289" s="99"/>
      <c r="AP289" s="99"/>
      <c r="AQ289" s="99"/>
      <c r="AR289" s="99"/>
      <c r="AS289" s="99"/>
      <c r="AT289" s="100"/>
      <c r="AU289" s="572"/>
      <c r="AV289" s="573"/>
      <c r="AW289" s="574"/>
    </row>
    <row r="290" spans="1:49" ht="15.75" customHeight="1" x14ac:dyDescent="0.25">
      <c r="A290" s="575" t="e">
        <f>AB284</f>
        <v>#N/A</v>
      </c>
      <c r="B290" s="576"/>
      <c r="C290" s="576"/>
      <c r="D290" s="576"/>
      <c r="E290" s="576"/>
      <c r="F290" s="576"/>
      <c r="G290" s="576"/>
      <c r="H290" s="576"/>
      <c r="I290" s="576"/>
      <c r="J290" s="101"/>
      <c r="K290" s="89"/>
      <c r="L290" s="97"/>
      <c r="M290" s="97"/>
      <c r="N290" s="97"/>
      <c r="O290" s="97"/>
      <c r="P290" s="97"/>
      <c r="Q290" s="97"/>
      <c r="R290" s="97"/>
      <c r="S290" s="97"/>
      <c r="T290" s="97"/>
      <c r="U290" s="97"/>
      <c r="V290" s="97"/>
      <c r="W290" s="97"/>
      <c r="X290" s="97"/>
      <c r="Y290" s="97"/>
      <c r="Z290" s="97"/>
      <c r="AA290" s="97"/>
      <c r="AB290" s="97"/>
      <c r="AC290" s="97"/>
      <c r="AD290" s="97"/>
      <c r="AE290" s="97"/>
      <c r="AF290" s="97"/>
      <c r="AG290" s="97"/>
      <c r="AH290" s="97"/>
      <c r="AI290" s="97"/>
      <c r="AJ290" s="97"/>
      <c r="AK290" s="97"/>
      <c r="AL290" s="97"/>
      <c r="AM290" s="97"/>
      <c r="AN290" s="97"/>
      <c r="AO290" s="97"/>
      <c r="AP290" s="97"/>
      <c r="AQ290" s="97"/>
      <c r="AR290" s="97"/>
      <c r="AS290" s="97"/>
      <c r="AT290" s="98"/>
      <c r="AU290" s="386"/>
      <c r="AV290" s="577"/>
      <c r="AW290" s="578"/>
    </row>
    <row r="291" spans="1:49" ht="15.75" customHeight="1" thickBot="1" x14ac:dyDescent="0.3">
      <c r="A291" s="570"/>
      <c r="B291" s="571"/>
      <c r="C291" s="571"/>
      <c r="D291" s="571"/>
      <c r="E291" s="571"/>
      <c r="F291" s="571"/>
      <c r="G291" s="571"/>
      <c r="H291" s="571"/>
      <c r="I291" s="571"/>
      <c r="J291" s="102"/>
      <c r="K291" s="91"/>
      <c r="L291" s="99"/>
      <c r="M291" s="99"/>
      <c r="N291" s="99"/>
      <c r="O291" s="99"/>
      <c r="P291" s="99"/>
      <c r="Q291" s="99"/>
      <c r="R291" s="99"/>
      <c r="S291" s="99"/>
      <c r="T291" s="99"/>
      <c r="U291" s="99"/>
      <c r="V291" s="99"/>
      <c r="W291" s="99"/>
      <c r="X291" s="99"/>
      <c r="Y291" s="99"/>
      <c r="Z291" s="99"/>
      <c r="AA291" s="99"/>
      <c r="AB291" s="99"/>
      <c r="AC291" s="99"/>
      <c r="AD291" s="99"/>
      <c r="AE291" s="99"/>
      <c r="AF291" s="99"/>
      <c r="AG291" s="99"/>
      <c r="AH291" s="99"/>
      <c r="AI291" s="99"/>
      <c r="AJ291" s="99"/>
      <c r="AK291" s="99"/>
      <c r="AL291" s="99"/>
      <c r="AM291" s="99"/>
      <c r="AN291" s="99"/>
      <c r="AO291" s="99"/>
      <c r="AP291" s="99"/>
      <c r="AQ291" s="99"/>
      <c r="AR291" s="99"/>
      <c r="AS291" s="99"/>
      <c r="AT291" s="100"/>
      <c r="AU291" s="572"/>
      <c r="AV291" s="573"/>
      <c r="AW291" s="574"/>
    </row>
    <row r="292" spans="1:49" ht="4.5" customHeight="1" thickBot="1" x14ac:dyDescent="0.3">
      <c r="A292" s="88"/>
      <c r="B292" s="88"/>
      <c r="C292" s="88"/>
      <c r="D292" s="88"/>
      <c r="E292" s="88"/>
      <c r="F292" s="88"/>
      <c r="G292" s="88"/>
      <c r="H292" s="88"/>
      <c r="I292" s="88"/>
      <c r="K292" s="5"/>
      <c r="L292" s="5"/>
    </row>
    <row r="293" spans="1:49" ht="15.75" customHeight="1" x14ac:dyDescent="0.25">
      <c r="A293" s="575" t="e">
        <f>A288</f>
        <v>#N/A</v>
      </c>
      <c r="B293" s="576"/>
      <c r="C293" s="576"/>
      <c r="D293" s="576"/>
      <c r="E293" s="576"/>
      <c r="F293" s="576"/>
      <c r="G293" s="576"/>
      <c r="H293" s="576"/>
      <c r="I293" s="576"/>
      <c r="J293" s="101"/>
      <c r="K293" s="89"/>
      <c r="L293" s="97"/>
      <c r="M293" s="97"/>
      <c r="N293" s="97"/>
      <c r="O293" s="97"/>
      <c r="P293" s="97"/>
      <c r="Q293" s="97"/>
      <c r="R293" s="97"/>
      <c r="S293" s="97"/>
      <c r="T293" s="97"/>
      <c r="U293" s="97"/>
      <c r="V293" s="97"/>
      <c r="W293" s="97"/>
      <c r="X293" s="97"/>
      <c r="Y293" s="97"/>
      <c r="Z293" s="97"/>
      <c r="AA293" s="97"/>
      <c r="AB293" s="97"/>
      <c r="AC293" s="97"/>
      <c r="AD293" s="97"/>
      <c r="AE293" s="97"/>
      <c r="AF293" s="97"/>
      <c r="AG293" s="97"/>
      <c r="AH293" s="97"/>
      <c r="AI293" s="97"/>
      <c r="AJ293" s="97"/>
      <c r="AK293" s="97"/>
      <c r="AL293" s="97"/>
      <c r="AM293" s="97"/>
      <c r="AN293" s="97"/>
      <c r="AO293" s="97"/>
      <c r="AP293" s="97"/>
      <c r="AQ293" s="97"/>
      <c r="AR293" s="97"/>
      <c r="AS293" s="97"/>
      <c r="AT293" s="98"/>
      <c r="AU293" s="579"/>
      <c r="AV293" s="580"/>
      <c r="AW293" s="581"/>
    </row>
    <row r="294" spans="1:49" ht="15.75" customHeight="1" thickBot="1" x14ac:dyDescent="0.3">
      <c r="A294" s="570"/>
      <c r="B294" s="571"/>
      <c r="C294" s="571"/>
      <c r="D294" s="571"/>
      <c r="E294" s="571"/>
      <c r="F294" s="571"/>
      <c r="G294" s="571"/>
      <c r="H294" s="571"/>
      <c r="I294" s="571"/>
      <c r="J294" s="102"/>
      <c r="K294" s="91"/>
      <c r="L294" s="99"/>
      <c r="M294" s="99"/>
      <c r="N294" s="99"/>
      <c r="O294" s="99"/>
      <c r="P294" s="99"/>
      <c r="Q294" s="99"/>
      <c r="R294" s="99"/>
      <c r="S294" s="99"/>
      <c r="T294" s="99"/>
      <c r="U294" s="99"/>
      <c r="V294" s="99"/>
      <c r="W294" s="99"/>
      <c r="X294" s="99"/>
      <c r="Y294" s="99"/>
      <c r="Z294" s="99"/>
      <c r="AA294" s="99"/>
      <c r="AB294" s="99"/>
      <c r="AC294" s="99"/>
      <c r="AD294" s="99"/>
      <c r="AE294" s="99"/>
      <c r="AF294" s="99"/>
      <c r="AG294" s="99"/>
      <c r="AH294" s="99"/>
      <c r="AI294" s="99"/>
      <c r="AJ294" s="99"/>
      <c r="AK294" s="99"/>
      <c r="AL294" s="99"/>
      <c r="AM294" s="99"/>
      <c r="AN294" s="99"/>
      <c r="AO294" s="99"/>
      <c r="AP294" s="99"/>
      <c r="AQ294" s="99"/>
      <c r="AR294" s="99"/>
      <c r="AS294" s="99"/>
      <c r="AT294" s="100"/>
      <c r="AU294" s="572"/>
      <c r="AV294" s="573"/>
      <c r="AW294" s="574"/>
    </row>
    <row r="295" spans="1:49" ht="15.75" customHeight="1" x14ac:dyDescent="0.25">
      <c r="A295" s="575" t="e">
        <f>A290</f>
        <v>#N/A</v>
      </c>
      <c r="B295" s="576"/>
      <c r="C295" s="576"/>
      <c r="D295" s="576"/>
      <c r="E295" s="576"/>
      <c r="F295" s="576"/>
      <c r="G295" s="576"/>
      <c r="H295" s="576"/>
      <c r="I295" s="576"/>
      <c r="J295" s="101"/>
      <c r="K295" s="89"/>
      <c r="L295" s="97"/>
      <c r="M295" s="97"/>
      <c r="N295" s="97"/>
      <c r="O295" s="97"/>
      <c r="P295" s="97"/>
      <c r="Q295" s="97"/>
      <c r="R295" s="97"/>
      <c r="S295" s="97"/>
      <c r="T295" s="97"/>
      <c r="U295" s="97"/>
      <c r="V295" s="97"/>
      <c r="W295" s="97"/>
      <c r="X295" s="97"/>
      <c r="Y295" s="97"/>
      <c r="Z295" s="97"/>
      <c r="AA295" s="97"/>
      <c r="AB295" s="97"/>
      <c r="AC295" s="97"/>
      <c r="AD295" s="97"/>
      <c r="AE295" s="97"/>
      <c r="AF295" s="97"/>
      <c r="AG295" s="97"/>
      <c r="AH295" s="97"/>
      <c r="AI295" s="97"/>
      <c r="AJ295" s="97"/>
      <c r="AK295" s="97"/>
      <c r="AL295" s="97"/>
      <c r="AM295" s="97"/>
      <c r="AN295" s="97"/>
      <c r="AO295" s="97"/>
      <c r="AP295" s="97"/>
      <c r="AQ295" s="97"/>
      <c r="AR295" s="97"/>
      <c r="AS295" s="97"/>
      <c r="AT295" s="98"/>
      <c r="AU295" s="386"/>
      <c r="AV295" s="577"/>
      <c r="AW295" s="578"/>
    </row>
    <row r="296" spans="1:49" ht="15.75" customHeight="1" thickBot="1" x14ac:dyDescent="0.3">
      <c r="A296" s="570"/>
      <c r="B296" s="571"/>
      <c r="C296" s="571"/>
      <c r="D296" s="571"/>
      <c r="E296" s="571"/>
      <c r="F296" s="571"/>
      <c r="G296" s="571"/>
      <c r="H296" s="571"/>
      <c r="I296" s="571"/>
      <c r="J296" s="102"/>
      <c r="K296" s="91"/>
      <c r="L296" s="99"/>
      <c r="M296" s="99"/>
      <c r="N296" s="99"/>
      <c r="O296" s="99"/>
      <c r="P296" s="99"/>
      <c r="Q296" s="99"/>
      <c r="R296" s="99"/>
      <c r="S296" s="99"/>
      <c r="T296" s="99"/>
      <c r="U296" s="99"/>
      <c r="V296" s="99"/>
      <c r="W296" s="99"/>
      <c r="X296" s="99"/>
      <c r="Y296" s="99"/>
      <c r="Z296" s="99"/>
      <c r="AA296" s="99"/>
      <c r="AB296" s="99"/>
      <c r="AC296" s="99"/>
      <c r="AD296" s="99"/>
      <c r="AE296" s="99"/>
      <c r="AF296" s="99"/>
      <c r="AG296" s="99"/>
      <c r="AH296" s="99"/>
      <c r="AI296" s="99"/>
      <c r="AJ296" s="99"/>
      <c r="AK296" s="99"/>
      <c r="AL296" s="99"/>
      <c r="AM296" s="99"/>
      <c r="AN296" s="99"/>
      <c r="AO296" s="99"/>
      <c r="AP296" s="99"/>
      <c r="AQ296" s="99"/>
      <c r="AR296" s="99"/>
      <c r="AS296" s="99"/>
      <c r="AT296" s="100"/>
      <c r="AU296" s="572"/>
      <c r="AV296" s="573"/>
      <c r="AW296" s="574"/>
    </row>
    <row r="297" spans="1:49" ht="4.5" customHeight="1" thickBot="1" x14ac:dyDescent="0.3">
      <c r="A297" s="88"/>
      <c r="B297" s="88"/>
      <c r="C297" s="88"/>
      <c r="D297" s="88"/>
      <c r="E297" s="88"/>
      <c r="F297" s="88"/>
      <c r="G297" s="88"/>
      <c r="H297" s="88"/>
      <c r="I297" s="88"/>
    </row>
    <row r="298" spans="1:49" ht="15.75" customHeight="1" x14ac:dyDescent="0.25">
      <c r="A298" s="575" t="e">
        <f>A293</f>
        <v>#N/A</v>
      </c>
      <c r="B298" s="576"/>
      <c r="C298" s="576"/>
      <c r="D298" s="576"/>
      <c r="E298" s="576"/>
      <c r="F298" s="576"/>
      <c r="G298" s="576"/>
      <c r="H298" s="576"/>
      <c r="I298" s="576"/>
      <c r="J298" s="101"/>
      <c r="K298" s="89"/>
      <c r="L298" s="97"/>
      <c r="M298" s="97"/>
      <c r="N298" s="97"/>
      <c r="O298" s="97"/>
      <c r="P298" s="97"/>
      <c r="Q298" s="97"/>
      <c r="R298" s="97"/>
      <c r="S298" s="97"/>
      <c r="T298" s="97"/>
      <c r="U298" s="97"/>
      <c r="V298" s="97"/>
      <c r="W298" s="97"/>
      <c r="X298" s="97"/>
      <c r="Y298" s="97"/>
      <c r="Z298" s="97"/>
      <c r="AA298" s="97"/>
      <c r="AB298" s="97"/>
      <c r="AC298" s="97"/>
      <c r="AD298" s="97"/>
      <c r="AE298" s="97"/>
      <c r="AF298" s="97"/>
      <c r="AG298" s="97"/>
      <c r="AH298" s="97"/>
      <c r="AI298" s="97"/>
      <c r="AJ298" s="97"/>
      <c r="AK298" s="97"/>
      <c r="AL298" s="97"/>
      <c r="AM298" s="97"/>
      <c r="AN298" s="97"/>
      <c r="AO298" s="97"/>
      <c r="AP298" s="97"/>
      <c r="AQ298" s="97"/>
      <c r="AR298" s="97"/>
      <c r="AS298" s="97"/>
      <c r="AT298" s="98"/>
      <c r="AU298" s="579"/>
      <c r="AV298" s="580"/>
      <c r="AW298" s="581"/>
    </row>
    <row r="299" spans="1:49" ht="15.75" customHeight="1" thickBot="1" x14ac:dyDescent="0.3">
      <c r="A299" s="570"/>
      <c r="B299" s="571"/>
      <c r="C299" s="571"/>
      <c r="D299" s="571"/>
      <c r="E299" s="571"/>
      <c r="F299" s="571"/>
      <c r="G299" s="571"/>
      <c r="H299" s="571"/>
      <c r="I299" s="571"/>
      <c r="J299" s="102"/>
      <c r="K299" s="91"/>
      <c r="L299" s="99"/>
      <c r="M299" s="99"/>
      <c r="N299" s="99"/>
      <c r="O299" s="99"/>
      <c r="P299" s="99"/>
      <c r="Q299" s="99"/>
      <c r="R299" s="99"/>
      <c r="S299" s="99"/>
      <c r="T299" s="99"/>
      <c r="U299" s="99"/>
      <c r="V299" s="99"/>
      <c r="W299" s="99"/>
      <c r="X299" s="99"/>
      <c r="Y299" s="99"/>
      <c r="Z299" s="99"/>
      <c r="AA299" s="99"/>
      <c r="AB299" s="99"/>
      <c r="AC299" s="99"/>
      <c r="AD299" s="99"/>
      <c r="AE299" s="99"/>
      <c r="AF299" s="99"/>
      <c r="AG299" s="99"/>
      <c r="AH299" s="99"/>
      <c r="AI299" s="99"/>
      <c r="AJ299" s="99"/>
      <c r="AK299" s="99"/>
      <c r="AL299" s="99"/>
      <c r="AM299" s="99"/>
      <c r="AN299" s="99"/>
      <c r="AO299" s="99"/>
      <c r="AP299" s="99"/>
      <c r="AQ299" s="99"/>
      <c r="AR299" s="99"/>
      <c r="AS299" s="99"/>
      <c r="AT299" s="100"/>
      <c r="AU299" s="572"/>
      <c r="AV299" s="573"/>
      <c r="AW299" s="574"/>
    </row>
    <row r="300" spans="1:49" ht="15.75" customHeight="1" x14ac:dyDescent="0.25">
      <c r="A300" s="575" t="e">
        <f>A295</f>
        <v>#N/A</v>
      </c>
      <c r="B300" s="576"/>
      <c r="C300" s="576"/>
      <c r="D300" s="576"/>
      <c r="E300" s="576"/>
      <c r="F300" s="576"/>
      <c r="G300" s="576"/>
      <c r="H300" s="576"/>
      <c r="I300" s="576"/>
      <c r="J300" s="101"/>
      <c r="K300" s="89"/>
      <c r="L300" s="97"/>
      <c r="M300" s="97"/>
      <c r="N300" s="97"/>
      <c r="O300" s="97"/>
      <c r="P300" s="97"/>
      <c r="Q300" s="97"/>
      <c r="R300" s="97"/>
      <c r="S300" s="97"/>
      <c r="T300" s="97"/>
      <c r="U300" s="97"/>
      <c r="V300" s="97"/>
      <c r="W300" s="97"/>
      <c r="X300" s="97"/>
      <c r="Y300" s="97"/>
      <c r="Z300" s="97"/>
      <c r="AA300" s="97"/>
      <c r="AB300" s="97"/>
      <c r="AC300" s="97"/>
      <c r="AD300" s="97"/>
      <c r="AE300" s="97"/>
      <c r="AF300" s="97"/>
      <c r="AG300" s="97"/>
      <c r="AH300" s="97"/>
      <c r="AI300" s="97"/>
      <c r="AJ300" s="97"/>
      <c r="AK300" s="97"/>
      <c r="AL300" s="97"/>
      <c r="AM300" s="97"/>
      <c r="AN300" s="97"/>
      <c r="AO300" s="97"/>
      <c r="AP300" s="97"/>
      <c r="AQ300" s="97"/>
      <c r="AR300" s="97"/>
      <c r="AS300" s="97"/>
      <c r="AT300" s="98"/>
      <c r="AU300" s="386"/>
      <c r="AV300" s="577"/>
      <c r="AW300" s="578"/>
    </row>
    <row r="301" spans="1:49" ht="15.75" customHeight="1" thickBot="1" x14ac:dyDescent="0.3">
      <c r="A301" s="570"/>
      <c r="B301" s="571"/>
      <c r="C301" s="571"/>
      <c r="D301" s="571"/>
      <c r="E301" s="571"/>
      <c r="F301" s="571"/>
      <c r="G301" s="571"/>
      <c r="H301" s="571"/>
      <c r="I301" s="571"/>
      <c r="J301" s="102"/>
      <c r="K301" s="91"/>
      <c r="L301" s="99"/>
      <c r="M301" s="99"/>
      <c r="N301" s="99"/>
      <c r="O301" s="99"/>
      <c r="P301" s="99"/>
      <c r="Q301" s="99"/>
      <c r="R301" s="99"/>
      <c r="S301" s="99"/>
      <c r="T301" s="99"/>
      <c r="U301" s="99"/>
      <c r="V301" s="99"/>
      <c r="W301" s="99"/>
      <c r="X301" s="99"/>
      <c r="Y301" s="99"/>
      <c r="Z301" s="99"/>
      <c r="AA301" s="99"/>
      <c r="AB301" s="99"/>
      <c r="AC301" s="99"/>
      <c r="AD301" s="99"/>
      <c r="AE301" s="99"/>
      <c r="AF301" s="99"/>
      <c r="AG301" s="99"/>
      <c r="AH301" s="99"/>
      <c r="AI301" s="99"/>
      <c r="AJ301" s="99"/>
      <c r="AK301" s="99"/>
      <c r="AL301" s="99"/>
      <c r="AM301" s="99"/>
      <c r="AN301" s="99"/>
      <c r="AO301" s="99"/>
      <c r="AP301" s="99"/>
      <c r="AQ301" s="99"/>
      <c r="AR301" s="99"/>
      <c r="AS301" s="99"/>
      <c r="AT301" s="100"/>
      <c r="AU301" s="572"/>
      <c r="AV301" s="573"/>
      <c r="AW301" s="574"/>
    </row>
    <row r="302" spans="1:49" ht="4.5" customHeight="1" thickBot="1" x14ac:dyDescent="0.3">
      <c r="A302" s="88"/>
      <c r="B302" s="88"/>
      <c r="C302" s="88"/>
      <c r="D302" s="88"/>
      <c r="E302" s="88"/>
      <c r="F302" s="88"/>
      <c r="G302" s="88"/>
      <c r="H302" s="88"/>
      <c r="I302" s="88"/>
    </row>
    <row r="303" spans="1:49" ht="15.75" customHeight="1" x14ac:dyDescent="0.25">
      <c r="A303" s="575" t="e">
        <f>A298</f>
        <v>#N/A</v>
      </c>
      <c r="B303" s="576"/>
      <c r="C303" s="576"/>
      <c r="D303" s="576"/>
      <c r="E303" s="576"/>
      <c r="F303" s="576"/>
      <c r="G303" s="576"/>
      <c r="H303" s="576"/>
      <c r="I303" s="576"/>
      <c r="J303" s="101"/>
      <c r="K303" s="89"/>
      <c r="L303" s="97"/>
      <c r="M303" s="97"/>
      <c r="N303" s="97"/>
      <c r="O303" s="97"/>
      <c r="P303" s="97"/>
      <c r="Q303" s="97"/>
      <c r="R303" s="97"/>
      <c r="S303" s="97"/>
      <c r="T303" s="97"/>
      <c r="U303" s="97"/>
      <c r="V303" s="97"/>
      <c r="W303" s="97"/>
      <c r="X303" s="97"/>
      <c r="Y303" s="97"/>
      <c r="Z303" s="97"/>
      <c r="AA303" s="97"/>
      <c r="AB303" s="97"/>
      <c r="AC303" s="97"/>
      <c r="AD303" s="97"/>
      <c r="AE303" s="97"/>
      <c r="AF303" s="97"/>
      <c r="AG303" s="97"/>
      <c r="AH303" s="97"/>
      <c r="AI303" s="97"/>
      <c r="AJ303" s="97"/>
      <c r="AK303" s="97"/>
      <c r="AL303" s="97"/>
      <c r="AM303" s="97"/>
      <c r="AN303" s="97"/>
      <c r="AO303" s="97"/>
      <c r="AP303" s="97"/>
      <c r="AQ303" s="97"/>
      <c r="AR303" s="97"/>
      <c r="AS303" s="97"/>
      <c r="AT303" s="98"/>
      <c r="AU303" s="579"/>
      <c r="AV303" s="580"/>
      <c r="AW303" s="581"/>
    </row>
    <row r="304" spans="1:49" ht="15.75" customHeight="1" thickBot="1" x14ac:dyDescent="0.3">
      <c r="A304" s="570"/>
      <c r="B304" s="571"/>
      <c r="C304" s="571"/>
      <c r="D304" s="571"/>
      <c r="E304" s="571"/>
      <c r="F304" s="571"/>
      <c r="G304" s="571"/>
      <c r="H304" s="571"/>
      <c r="I304" s="571"/>
      <c r="J304" s="102"/>
      <c r="K304" s="91"/>
      <c r="L304" s="99"/>
      <c r="M304" s="99"/>
      <c r="N304" s="99"/>
      <c r="O304" s="99"/>
      <c r="P304" s="99"/>
      <c r="Q304" s="99"/>
      <c r="R304" s="99"/>
      <c r="S304" s="99"/>
      <c r="T304" s="99"/>
      <c r="U304" s="99"/>
      <c r="V304" s="99"/>
      <c r="W304" s="99"/>
      <c r="X304" s="99"/>
      <c r="Y304" s="99"/>
      <c r="Z304" s="99"/>
      <c r="AA304" s="99"/>
      <c r="AB304" s="99"/>
      <c r="AC304" s="99"/>
      <c r="AD304" s="99"/>
      <c r="AE304" s="99"/>
      <c r="AF304" s="99"/>
      <c r="AG304" s="99"/>
      <c r="AH304" s="99"/>
      <c r="AI304" s="99"/>
      <c r="AJ304" s="99"/>
      <c r="AK304" s="99"/>
      <c r="AL304" s="99"/>
      <c r="AM304" s="99"/>
      <c r="AN304" s="99"/>
      <c r="AO304" s="99"/>
      <c r="AP304" s="99"/>
      <c r="AQ304" s="99"/>
      <c r="AR304" s="99"/>
      <c r="AS304" s="99"/>
      <c r="AT304" s="100"/>
      <c r="AU304" s="572"/>
      <c r="AV304" s="573"/>
      <c r="AW304" s="574"/>
    </row>
    <row r="305" spans="1:49" ht="15.75" customHeight="1" x14ac:dyDescent="0.25">
      <c r="A305" s="575" t="e">
        <f>A300</f>
        <v>#N/A</v>
      </c>
      <c r="B305" s="576"/>
      <c r="C305" s="576"/>
      <c r="D305" s="576"/>
      <c r="E305" s="576"/>
      <c r="F305" s="576"/>
      <c r="G305" s="576"/>
      <c r="H305" s="576"/>
      <c r="I305" s="576"/>
      <c r="J305" s="101"/>
      <c r="K305" s="89"/>
      <c r="L305" s="97"/>
      <c r="M305" s="97"/>
      <c r="N305" s="97"/>
      <c r="O305" s="97"/>
      <c r="P305" s="97"/>
      <c r="Q305" s="97"/>
      <c r="R305" s="97"/>
      <c r="S305" s="97"/>
      <c r="T305" s="97"/>
      <c r="U305" s="97"/>
      <c r="V305" s="97"/>
      <c r="W305" s="97"/>
      <c r="X305" s="97"/>
      <c r="Y305" s="97"/>
      <c r="Z305" s="97"/>
      <c r="AA305" s="97"/>
      <c r="AB305" s="97"/>
      <c r="AC305" s="97"/>
      <c r="AD305" s="97"/>
      <c r="AE305" s="97"/>
      <c r="AF305" s="97"/>
      <c r="AG305" s="97"/>
      <c r="AH305" s="97"/>
      <c r="AI305" s="97"/>
      <c r="AJ305" s="97"/>
      <c r="AK305" s="97"/>
      <c r="AL305" s="97"/>
      <c r="AM305" s="97"/>
      <c r="AN305" s="97"/>
      <c r="AO305" s="97"/>
      <c r="AP305" s="97"/>
      <c r="AQ305" s="97"/>
      <c r="AR305" s="97"/>
      <c r="AS305" s="97"/>
      <c r="AT305" s="98"/>
      <c r="AU305" s="386"/>
      <c r="AV305" s="577"/>
      <c r="AW305" s="578"/>
    </row>
    <row r="306" spans="1:49" ht="15.75" customHeight="1" thickBot="1" x14ac:dyDescent="0.3">
      <c r="A306" s="570"/>
      <c r="B306" s="571"/>
      <c r="C306" s="571"/>
      <c r="D306" s="571"/>
      <c r="E306" s="571"/>
      <c r="F306" s="571"/>
      <c r="G306" s="571"/>
      <c r="H306" s="571"/>
      <c r="I306" s="571"/>
      <c r="J306" s="102"/>
      <c r="K306" s="91"/>
      <c r="L306" s="99"/>
      <c r="M306" s="99"/>
      <c r="N306" s="99"/>
      <c r="O306" s="99"/>
      <c r="P306" s="99"/>
      <c r="Q306" s="99"/>
      <c r="R306" s="99"/>
      <c r="S306" s="99"/>
      <c r="T306" s="99"/>
      <c r="U306" s="99"/>
      <c r="V306" s="99"/>
      <c r="W306" s="99"/>
      <c r="X306" s="99"/>
      <c r="Y306" s="99"/>
      <c r="Z306" s="99"/>
      <c r="AA306" s="99"/>
      <c r="AB306" s="99"/>
      <c r="AC306" s="99"/>
      <c r="AD306" s="99"/>
      <c r="AE306" s="99"/>
      <c r="AF306" s="99"/>
      <c r="AG306" s="99"/>
      <c r="AH306" s="99"/>
      <c r="AI306" s="99"/>
      <c r="AJ306" s="99"/>
      <c r="AK306" s="99"/>
      <c r="AL306" s="99"/>
      <c r="AM306" s="99"/>
      <c r="AN306" s="99"/>
      <c r="AO306" s="99"/>
      <c r="AP306" s="99"/>
      <c r="AQ306" s="99"/>
      <c r="AR306" s="99"/>
      <c r="AS306" s="99"/>
      <c r="AT306" s="100"/>
      <c r="AU306" s="572"/>
      <c r="AV306" s="573"/>
      <c r="AW306" s="574"/>
    </row>
    <row r="307" spans="1:49" ht="4.5" customHeight="1" thickBot="1" x14ac:dyDescent="0.3">
      <c r="A307" s="88"/>
      <c r="B307" s="88"/>
      <c r="C307" s="88"/>
      <c r="D307" s="88"/>
      <c r="E307" s="88"/>
      <c r="F307" s="88"/>
      <c r="G307" s="88"/>
      <c r="H307" s="88"/>
      <c r="I307" s="88"/>
    </row>
    <row r="308" spans="1:49" ht="15.75" customHeight="1" x14ac:dyDescent="0.25">
      <c r="A308" s="575" t="e">
        <f>A303</f>
        <v>#N/A</v>
      </c>
      <c r="B308" s="576"/>
      <c r="C308" s="576"/>
      <c r="D308" s="576"/>
      <c r="E308" s="576"/>
      <c r="F308" s="576"/>
      <c r="G308" s="576"/>
      <c r="H308" s="576"/>
      <c r="I308" s="576"/>
      <c r="J308" s="101"/>
      <c r="K308" s="89"/>
      <c r="L308" s="97"/>
      <c r="M308" s="97"/>
      <c r="N308" s="97"/>
      <c r="O308" s="97"/>
      <c r="P308" s="97"/>
      <c r="Q308" s="97"/>
      <c r="R308" s="97"/>
      <c r="S308" s="97"/>
      <c r="T308" s="97"/>
      <c r="U308" s="97"/>
      <c r="V308" s="97"/>
      <c r="W308" s="97"/>
      <c r="X308" s="97"/>
      <c r="Y308" s="97"/>
      <c r="Z308" s="97"/>
      <c r="AA308" s="97"/>
      <c r="AB308" s="97"/>
      <c r="AC308" s="97"/>
      <c r="AD308" s="97"/>
      <c r="AE308" s="97"/>
      <c r="AF308" s="97"/>
      <c r="AG308" s="97"/>
      <c r="AH308" s="97"/>
      <c r="AI308" s="97"/>
      <c r="AJ308" s="97"/>
      <c r="AK308" s="97"/>
      <c r="AL308" s="97"/>
      <c r="AM308" s="97"/>
      <c r="AN308" s="97"/>
      <c r="AO308" s="97"/>
      <c r="AP308" s="97"/>
      <c r="AQ308" s="97"/>
      <c r="AR308" s="97"/>
      <c r="AS308" s="97"/>
      <c r="AT308" s="98"/>
      <c r="AU308" s="579"/>
      <c r="AV308" s="580"/>
      <c r="AW308" s="581"/>
    </row>
    <row r="309" spans="1:49" ht="15.75" customHeight="1" thickBot="1" x14ac:dyDescent="0.3">
      <c r="A309" s="570"/>
      <c r="B309" s="571"/>
      <c r="C309" s="571"/>
      <c r="D309" s="571"/>
      <c r="E309" s="571"/>
      <c r="F309" s="571"/>
      <c r="G309" s="571"/>
      <c r="H309" s="571"/>
      <c r="I309" s="571"/>
      <c r="J309" s="102"/>
      <c r="K309" s="91"/>
      <c r="L309" s="99"/>
      <c r="M309" s="99"/>
      <c r="N309" s="99"/>
      <c r="O309" s="99"/>
      <c r="P309" s="99"/>
      <c r="Q309" s="99"/>
      <c r="R309" s="99"/>
      <c r="S309" s="99"/>
      <c r="T309" s="99"/>
      <c r="U309" s="99"/>
      <c r="V309" s="99"/>
      <c r="W309" s="99"/>
      <c r="X309" s="99"/>
      <c r="Y309" s="99"/>
      <c r="Z309" s="99"/>
      <c r="AA309" s="99"/>
      <c r="AB309" s="99"/>
      <c r="AC309" s="99"/>
      <c r="AD309" s="99"/>
      <c r="AE309" s="99"/>
      <c r="AF309" s="99"/>
      <c r="AG309" s="99"/>
      <c r="AH309" s="99"/>
      <c r="AI309" s="99"/>
      <c r="AJ309" s="99"/>
      <c r="AK309" s="99"/>
      <c r="AL309" s="99"/>
      <c r="AM309" s="99"/>
      <c r="AN309" s="99"/>
      <c r="AO309" s="99"/>
      <c r="AP309" s="99"/>
      <c r="AQ309" s="99"/>
      <c r="AR309" s="99"/>
      <c r="AS309" s="99"/>
      <c r="AT309" s="100"/>
      <c r="AU309" s="572"/>
      <c r="AV309" s="573"/>
      <c r="AW309" s="574"/>
    </row>
    <row r="310" spans="1:49" ht="15.75" customHeight="1" x14ac:dyDescent="0.25">
      <c r="A310" s="575" t="e">
        <f>A305</f>
        <v>#N/A</v>
      </c>
      <c r="B310" s="576"/>
      <c r="C310" s="576"/>
      <c r="D310" s="576"/>
      <c r="E310" s="576"/>
      <c r="F310" s="576"/>
      <c r="G310" s="576"/>
      <c r="H310" s="576"/>
      <c r="I310" s="576"/>
      <c r="J310" s="101"/>
      <c r="K310" s="89"/>
      <c r="L310" s="97"/>
      <c r="M310" s="97"/>
      <c r="N310" s="97"/>
      <c r="O310" s="97"/>
      <c r="P310" s="97"/>
      <c r="Q310" s="97"/>
      <c r="R310" s="97"/>
      <c r="S310" s="97"/>
      <c r="T310" s="97"/>
      <c r="U310" s="97"/>
      <c r="V310" s="97"/>
      <c r="W310" s="97"/>
      <c r="X310" s="97"/>
      <c r="Y310" s="97"/>
      <c r="Z310" s="97"/>
      <c r="AA310" s="97"/>
      <c r="AB310" s="97"/>
      <c r="AC310" s="97"/>
      <c r="AD310" s="97"/>
      <c r="AE310" s="97"/>
      <c r="AF310" s="97"/>
      <c r="AG310" s="97"/>
      <c r="AH310" s="97"/>
      <c r="AI310" s="97"/>
      <c r="AJ310" s="97"/>
      <c r="AK310" s="97"/>
      <c r="AL310" s="97"/>
      <c r="AM310" s="97"/>
      <c r="AN310" s="97"/>
      <c r="AO310" s="97"/>
      <c r="AP310" s="97"/>
      <c r="AQ310" s="97"/>
      <c r="AR310" s="97"/>
      <c r="AS310" s="97"/>
      <c r="AT310" s="98"/>
      <c r="AU310" s="386"/>
      <c r="AV310" s="577"/>
      <c r="AW310" s="578"/>
    </row>
    <row r="311" spans="1:49" ht="15.75" customHeight="1" thickBot="1" x14ac:dyDescent="0.3">
      <c r="A311" s="570"/>
      <c r="B311" s="571"/>
      <c r="C311" s="571"/>
      <c r="D311" s="571"/>
      <c r="E311" s="571"/>
      <c r="F311" s="571"/>
      <c r="G311" s="571"/>
      <c r="H311" s="571"/>
      <c r="I311" s="571"/>
      <c r="J311" s="102"/>
      <c r="K311" s="91"/>
      <c r="L311" s="99"/>
      <c r="M311" s="99"/>
      <c r="N311" s="99"/>
      <c r="O311" s="99"/>
      <c r="P311" s="99"/>
      <c r="Q311" s="99"/>
      <c r="R311" s="99"/>
      <c r="S311" s="99"/>
      <c r="T311" s="99"/>
      <c r="U311" s="99"/>
      <c r="V311" s="99"/>
      <c r="W311" s="99"/>
      <c r="X311" s="99"/>
      <c r="Y311" s="99"/>
      <c r="Z311" s="99"/>
      <c r="AA311" s="99"/>
      <c r="AB311" s="99"/>
      <c r="AC311" s="99"/>
      <c r="AD311" s="99"/>
      <c r="AE311" s="99"/>
      <c r="AF311" s="99"/>
      <c r="AG311" s="99"/>
      <c r="AH311" s="99"/>
      <c r="AI311" s="99"/>
      <c r="AJ311" s="99"/>
      <c r="AK311" s="99"/>
      <c r="AL311" s="99"/>
      <c r="AM311" s="99"/>
      <c r="AN311" s="99"/>
      <c r="AO311" s="99"/>
      <c r="AP311" s="99"/>
      <c r="AQ311" s="99"/>
      <c r="AR311" s="99"/>
      <c r="AS311" s="99"/>
      <c r="AT311" s="100"/>
      <c r="AU311" s="572"/>
      <c r="AV311" s="573"/>
      <c r="AW311" s="574"/>
    </row>
    <row r="312" spans="1:49" ht="4.5" customHeight="1" thickBot="1" x14ac:dyDescent="0.3">
      <c r="A312" s="88"/>
      <c r="B312" s="88"/>
      <c r="C312" s="88"/>
      <c r="D312" s="88"/>
      <c r="E312" s="88"/>
      <c r="F312" s="88"/>
      <c r="G312" s="88"/>
      <c r="H312" s="88"/>
      <c r="I312" s="88"/>
    </row>
    <row r="313" spans="1:49" ht="15.75" customHeight="1" x14ac:dyDescent="0.25">
      <c r="A313" s="575" t="e">
        <f>A308</f>
        <v>#N/A</v>
      </c>
      <c r="B313" s="576"/>
      <c r="C313" s="576"/>
      <c r="D313" s="576"/>
      <c r="E313" s="576"/>
      <c r="F313" s="576"/>
      <c r="G313" s="576"/>
      <c r="H313" s="576"/>
      <c r="I313" s="576"/>
      <c r="J313" s="101"/>
      <c r="K313" s="89"/>
      <c r="L313" s="97"/>
      <c r="M313" s="97"/>
      <c r="N313" s="97"/>
      <c r="O313" s="97"/>
      <c r="P313" s="97"/>
      <c r="Q313" s="97"/>
      <c r="R313" s="97"/>
      <c r="S313" s="97"/>
      <c r="T313" s="97"/>
      <c r="U313" s="97"/>
      <c r="V313" s="97"/>
      <c r="W313" s="97"/>
      <c r="X313" s="97"/>
      <c r="Y313" s="97"/>
      <c r="Z313" s="97"/>
      <c r="AA313" s="97"/>
      <c r="AB313" s="97"/>
      <c r="AC313" s="97"/>
      <c r="AD313" s="97"/>
      <c r="AE313" s="97"/>
      <c r="AF313" s="97"/>
      <c r="AG313" s="97"/>
      <c r="AH313" s="97"/>
      <c r="AI313" s="97"/>
      <c r="AJ313" s="97"/>
      <c r="AK313" s="97"/>
      <c r="AL313" s="97"/>
      <c r="AM313" s="97"/>
      <c r="AN313" s="97"/>
      <c r="AO313" s="97"/>
      <c r="AP313" s="97"/>
      <c r="AQ313" s="97"/>
      <c r="AR313" s="97"/>
      <c r="AS313" s="97"/>
      <c r="AT313" s="98"/>
      <c r="AU313" s="579"/>
      <c r="AV313" s="580"/>
      <c r="AW313" s="581"/>
    </row>
    <row r="314" spans="1:49" ht="15.75" customHeight="1" thickBot="1" x14ac:dyDescent="0.3">
      <c r="A314" s="570"/>
      <c r="B314" s="571"/>
      <c r="C314" s="571"/>
      <c r="D314" s="571"/>
      <c r="E314" s="571"/>
      <c r="F314" s="571"/>
      <c r="G314" s="571"/>
      <c r="H314" s="571"/>
      <c r="I314" s="571"/>
      <c r="J314" s="102"/>
      <c r="K314" s="91"/>
      <c r="L314" s="99"/>
      <c r="M314" s="99"/>
      <c r="N314" s="99"/>
      <c r="O314" s="99"/>
      <c r="P314" s="99"/>
      <c r="Q314" s="99"/>
      <c r="R314" s="99"/>
      <c r="S314" s="99"/>
      <c r="T314" s="99"/>
      <c r="U314" s="99"/>
      <c r="V314" s="99"/>
      <c r="W314" s="99"/>
      <c r="X314" s="99"/>
      <c r="Y314" s="99"/>
      <c r="Z314" s="99"/>
      <c r="AA314" s="99"/>
      <c r="AB314" s="99"/>
      <c r="AC314" s="99"/>
      <c r="AD314" s="99"/>
      <c r="AE314" s="99"/>
      <c r="AF314" s="99"/>
      <c r="AG314" s="99"/>
      <c r="AH314" s="99"/>
      <c r="AI314" s="99"/>
      <c r="AJ314" s="99"/>
      <c r="AK314" s="99"/>
      <c r="AL314" s="99"/>
      <c r="AM314" s="99"/>
      <c r="AN314" s="99"/>
      <c r="AO314" s="99"/>
      <c r="AP314" s="99"/>
      <c r="AQ314" s="99"/>
      <c r="AR314" s="99"/>
      <c r="AS314" s="99"/>
      <c r="AT314" s="100"/>
      <c r="AU314" s="572"/>
      <c r="AV314" s="573"/>
      <c r="AW314" s="574"/>
    </row>
    <row r="315" spans="1:49" ht="15.75" customHeight="1" x14ac:dyDescent="0.25">
      <c r="A315" s="575" t="e">
        <f>A310</f>
        <v>#N/A</v>
      </c>
      <c r="B315" s="576"/>
      <c r="C315" s="576"/>
      <c r="D315" s="576"/>
      <c r="E315" s="576"/>
      <c r="F315" s="576"/>
      <c r="G315" s="576"/>
      <c r="H315" s="576"/>
      <c r="I315" s="576"/>
      <c r="J315" s="101"/>
      <c r="K315" s="89"/>
      <c r="L315" s="97"/>
      <c r="M315" s="97"/>
      <c r="N315" s="97"/>
      <c r="O315" s="97"/>
      <c r="P315" s="97"/>
      <c r="Q315" s="97"/>
      <c r="R315" s="97"/>
      <c r="S315" s="97"/>
      <c r="T315" s="97"/>
      <c r="U315" s="97"/>
      <c r="V315" s="97"/>
      <c r="W315" s="97"/>
      <c r="X315" s="97"/>
      <c r="Y315" s="97"/>
      <c r="Z315" s="97"/>
      <c r="AA315" s="97"/>
      <c r="AB315" s="97"/>
      <c r="AC315" s="97"/>
      <c r="AD315" s="97"/>
      <c r="AE315" s="97"/>
      <c r="AF315" s="97"/>
      <c r="AG315" s="97"/>
      <c r="AH315" s="97"/>
      <c r="AI315" s="97"/>
      <c r="AJ315" s="97"/>
      <c r="AK315" s="97"/>
      <c r="AL315" s="97"/>
      <c r="AM315" s="97"/>
      <c r="AN315" s="97"/>
      <c r="AO315" s="97"/>
      <c r="AP315" s="97"/>
      <c r="AQ315" s="97"/>
      <c r="AR315" s="97"/>
      <c r="AS315" s="97"/>
      <c r="AT315" s="98"/>
      <c r="AU315" s="386"/>
      <c r="AV315" s="577"/>
      <c r="AW315" s="578"/>
    </row>
    <row r="316" spans="1:49" ht="15.75" customHeight="1" thickBot="1" x14ac:dyDescent="0.3">
      <c r="A316" s="570"/>
      <c r="B316" s="571"/>
      <c r="C316" s="571"/>
      <c r="D316" s="571"/>
      <c r="E316" s="571"/>
      <c r="F316" s="571"/>
      <c r="G316" s="571"/>
      <c r="H316" s="571"/>
      <c r="I316" s="571"/>
      <c r="J316" s="102"/>
      <c r="K316" s="91"/>
      <c r="L316" s="99"/>
      <c r="M316" s="99"/>
      <c r="N316" s="99"/>
      <c r="O316" s="99"/>
      <c r="P316" s="99"/>
      <c r="Q316" s="99"/>
      <c r="R316" s="99"/>
      <c r="S316" s="99"/>
      <c r="T316" s="99"/>
      <c r="U316" s="99"/>
      <c r="V316" s="99"/>
      <c r="W316" s="99"/>
      <c r="X316" s="99"/>
      <c r="Y316" s="99"/>
      <c r="Z316" s="99"/>
      <c r="AA316" s="99"/>
      <c r="AB316" s="99"/>
      <c r="AC316" s="99"/>
      <c r="AD316" s="99"/>
      <c r="AE316" s="99"/>
      <c r="AF316" s="99"/>
      <c r="AG316" s="99"/>
      <c r="AH316" s="99"/>
      <c r="AI316" s="99"/>
      <c r="AJ316" s="99"/>
      <c r="AK316" s="99"/>
      <c r="AL316" s="99"/>
      <c r="AM316" s="99"/>
      <c r="AN316" s="99"/>
      <c r="AO316" s="99"/>
      <c r="AP316" s="99"/>
      <c r="AQ316" s="99"/>
      <c r="AR316" s="99"/>
      <c r="AS316" s="99"/>
      <c r="AT316" s="100"/>
      <c r="AU316" s="572"/>
      <c r="AV316" s="573"/>
      <c r="AW316" s="574"/>
    </row>
    <row r="317" spans="1:49" ht="4.5" customHeight="1" x14ac:dyDescent="0.25"/>
    <row r="320" spans="1:49" x14ac:dyDescent="0.25">
      <c r="M320" t="s">
        <v>340</v>
      </c>
      <c r="R320" s="103"/>
      <c r="S320" s="103"/>
      <c r="T320" s="103"/>
      <c r="U320" s="103"/>
      <c r="V320" s="103"/>
      <c r="W320" s="103"/>
      <c r="X320" s="103"/>
      <c r="Y320" s="103"/>
      <c r="Z320" s="103"/>
      <c r="AA320" s="103"/>
      <c r="AB320" s="103"/>
      <c r="AC320" s="103"/>
      <c r="AD320" s="103"/>
      <c r="AF320" t="s">
        <v>284</v>
      </c>
      <c r="AK320" s="103"/>
      <c r="AL320" s="103"/>
      <c r="AM320" s="103"/>
      <c r="AN320" s="103"/>
      <c r="AO320" s="103"/>
      <c r="AP320" s="103"/>
      <c r="AQ320" s="103"/>
      <c r="AR320" s="103"/>
      <c r="AS320" s="103"/>
      <c r="AT320" s="103"/>
      <c r="AU320" s="103"/>
      <c r="AV320" s="103"/>
      <c r="AW320" s="103"/>
    </row>
  </sheetData>
  <sheetProtection sheet="1" objects="1" scenarios="1"/>
  <mergeCells count="552">
    <mergeCell ref="A7:X7"/>
    <mergeCell ref="Z7:AW7"/>
    <mergeCell ref="W6:X6"/>
    <mergeCell ref="Z6:AA6"/>
    <mergeCell ref="M4:U4"/>
    <mergeCell ref="M5:U5"/>
    <mergeCell ref="M6:U6"/>
    <mergeCell ref="AB4:AJ4"/>
    <mergeCell ref="AB5:AJ5"/>
    <mergeCell ref="AB6:AJ6"/>
    <mergeCell ref="E6:K6"/>
    <mergeCell ref="A1:AW2"/>
    <mergeCell ref="L3:AL3"/>
    <mergeCell ref="W4:X4"/>
    <mergeCell ref="Z4:AA4"/>
    <mergeCell ref="W5:X5"/>
    <mergeCell ref="Z5:AA5"/>
    <mergeCell ref="E3:H3"/>
    <mergeCell ref="I3:K3"/>
    <mergeCell ref="E4:K4"/>
    <mergeCell ref="E5:K5"/>
    <mergeCell ref="A13:I13"/>
    <mergeCell ref="AU13:AW13"/>
    <mergeCell ref="A14:I14"/>
    <mergeCell ref="AU14:AW14"/>
    <mergeCell ref="A15:I15"/>
    <mergeCell ref="AU15:AW15"/>
    <mergeCell ref="A8:I8"/>
    <mergeCell ref="A9:I9"/>
    <mergeCell ref="A10:I10"/>
    <mergeCell ref="A11:I11"/>
    <mergeCell ref="AU8:AW8"/>
    <mergeCell ref="AU9:AW9"/>
    <mergeCell ref="AU10:AW10"/>
    <mergeCell ref="AU11:AW11"/>
    <mergeCell ref="A20:I20"/>
    <mergeCell ref="AU20:AW20"/>
    <mergeCell ref="A21:I21"/>
    <mergeCell ref="AU21:AW21"/>
    <mergeCell ref="A23:I23"/>
    <mergeCell ref="AU23:AW23"/>
    <mergeCell ref="A16:I16"/>
    <mergeCell ref="AU16:AW16"/>
    <mergeCell ref="A18:I18"/>
    <mergeCell ref="AU18:AW18"/>
    <mergeCell ref="A19:I19"/>
    <mergeCell ref="AU19:AW19"/>
    <mergeCell ref="A28:I28"/>
    <mergeCell ref="AU28:AW28"/>
    <mergeCell ref="A29:I29"/>
    <mergeCell ref="AU29:AW29"/>
    <mergeCell ref="A30:I30"/>
    <mergeCell ref="AU30:AW30"/>
    <mergeCell ref="A24:I24"/>
    <mergeCell ref="AU24:AW24"/>
    <mergeCell ref="A25:I25"/>
    <mergeCell ref="AU25:AW25"/>
    <mergeCell ref="A26:I26"/>
    <mergeCell ref="AU26:AW26"/>
    <mergeCell ref="A35:I35"/>
    <mergeCell ref="AU35:AW35"/>
    <mergeCell ref="A36:I36"/>
    <mergeCell ref="AU36:AW36"/>
    <mergeCell ref="A41:AW42"/>
    <mergeCell ref="L43:AL43"/>
    <mergeCell ref="E43:H43"/>
    <mergeCell ref="I43:K43"/>
    <mergeCell ref="A31:I31"/>
    <mergeCell ref="AU31:AW31"/>
    <mergeCell ref="A33:I33"/>
    <mergeCell ref="AU33:AW33"/>
    <mergeCell ref="A34:I34"/>
    <mergeCell ref="AU34:AW34"/>
    <mergeCell ref="E46:K46"/>
    <mergeCell ref="M46:U46"/>
    <mergeCell ref="W46:X46"/>
    <mergeCell ref="Z46:AA46"/>
    <mergeCell ref="AB46:AJ46"/>
    <mergeCell ref="A47:X47"/>
    <mergeCell ref="Z47:AW47"/>
    <mergeCell ref="E44:K44"/>
    <mergeCell ref="M44:U44"/>
    <mergeCell ref="W44:X44"/>
    <mergeCell ref="Z44:AA44"/>
    <mergeCell ref="AB44:AJ44"/>
    <mergeCell ref="E45:K45"/>
    <mergeCell ref="M45:U45"/>
    <mergeCell ref="W45:X45"/>
    <mergeCell ref="Z45:AA45"/>
    <mergeCell ref="AB45:AJ45"/>
    <mergeCell ref="A51:I51"/>
    <mergeCell ref="AU51:AW51"/>
    <mergeCell ref="A53:I53"/>
    <mergeCell ref="AU53:AW53"/>
    <mergeCell ref="A54:I54"/>
    <mergeCell ref="AU54:AW54"/>
    <mergeCell ref="A48:I48"/>
    <mergeCell ref="AU48:AW48"/>
    <mergeCell ref="A49:I49"/>
    <mergeCell ref="AU49:AW49"/>
    <mergeCell ref="A50:I50"/>
    <mergeCell ref="AU50:AW50"/>
    <mergeCell ref="A59:I59"/>
    <mergeCell ref="AU59:AW59"/>
    <mergeCell ref="A60:I60"/>
    <mergeCell ref="AU60:AW60"/>
    <mergeCell ref="A61:I61"/>
    <mergeCell ref="AU61:AW61"/>
    <mergeCell ref="A55:I55"/>
    <mergeCell ref="AU55:AW55"/>
    <mergeCell ref="A56:I56"/>
    <mergeCell ref="AU56:AW56"/>
    <mergeCell ref="A58:I58"/>
    <mergeCell ref="AU58:AW58"/>
    <mergeCell ref="A66:I66"/>
    <mergeCell ref="AU66:AW66"/>
    <mergeCell ref="A68:I68"/>
    <mergeCell ref="AU68:AW68"/>
    <mergeCell ref="A69:I69"/>
    <mergeCell ref="AU69:AW69"/>
    <mergeCell ref="A63:I63"/>
    <mergeCell ref="AU63:AW63"/>
    <mergeCell ref="A64:I64"/>
    <mergeCell ref="AU64:AW64"/>
    <mergeCell ref="A65:I65"/>
    <mergeCell ref="AU65:AW65"/>
    <mergeCell ref="A74:I74"/>
    <mergeCell ref="AU74:AW74"/>
    <mergeCell ref="A75:I75"/>
    <mergeCell ref="AU75:AW75"/>
    <mergeCell ref="A76:I76"/>
    <mergeCell ref="AU76:AW76"/>
    <mergeCell ref="A70:I70"/>
    <mergeCell ref="AU70:AW70"/>
    <mergeCell ref="A71:I71"/>
    <mergeCell ref="AU71:AW71"/>
    <mergeCell ref="A73:I73"/>
    <mergeCell ref="AU73:AW73"/>
    <mergeCell ref="A81:AW82"/>
    <mergeCell ref="E83:H83"/>
    <mergeCell ref="I83:K83"/>
    <mergeCell ref="L83:AL83"/>
    <mergeCell ref="E84:K84"/>
    <mergeCell ref="M84:U84"/>
    <mergeCell ref="W84:X84"/>
    <mergeCell ref="Z84:AA84"/>
    <mergeCell ref="AB84:AJ84"/>
    <mergeCell ref="A87:X87"/>
    <mergeCell ref="Z87:AW87"/>
    <mergeCell ref="A88:I88"/>
    <mergeCell ref="AU88:AW88"/>
    <mergeCell ref="A89:I89"/>
    <mergeCell ref="AU89:AW89"/>
    <mergeCell ref="E85:K85"/>
    <mergeCell ref="M85:U85"/>
    <mergeCell ref="W85:X85"/>
    <mergeCell ref="Z85:AA85"/>
    <mergeCell ref="AB85:AJ85"/>
    <mergeCell ref="E86:K86"/>
    <mergeCell ref="M86:U86"/>
    <mergeCell ref="W86:X86"/>
    <mergeCell ref="Z86:AA86"/>
    <mergeCell ref="AB86:AJ86"/>
    <mergeCell ref="A94:I94"/>
    <mergeCell ref="AU94:AW94"/>
    <mergeCell ref="A95:I95"/>
    <mergeCell ref="AU95:AW95"/>
    <mergeCell ref="A96:I96"/>
    <mergeCell ref="AU96:AW96"/>
    <mergeCell ref="A90:I90"/>
    <mergeCell ref="AU90:AW90"/>
    <mergeCell ref="A91:I91"/>
    <mergeCell ref="AU91:AW91"/>
    <mergeCell ref="A93:I93"/>
    <mergeCell ref="AU93:AW93"/>
    <mergeCell ref="A101:I101"/>
    <mergeCell ref="AU101:AW101"/>
    <mergeCell ref="A103:I103"/>
    <mergeCell ref="AU103:AW103"/>
    <mergeCell ref="A104:I104"/>
    <mergeCell ref="AU104:AW104"/>
    <mergeCell ref="A98:I98"/>
    <mergeCell ref="AU98:AW98"/>
    <mergeCell ref="A99:I99"/>
    <mergeCell ref="AU99:AW99"/>
    <mergeCell ref="A100:I100"/>
    <mergeCell ref="AU100:AW100"/>
    <mergeCell ref="A109:I109"/>
    <mergeCell ref="AU109:AW109"/>
    <mergeCell ref="A110:I110"/>
    <mergeCell ref="AU110:AW110"/>
    <mergeCell ref="A111:I111"/>
    <mergeCell ref="AU111:AW111"/>
    <mergeCell ref="A105:I105"/>
    <mergeCell ref="AU105:AW105"/>
    <mergeCell ref="A106:I106"/>
    <mergeCell ref="AU106:AW106"/>
    <mergeCell ref="A108:I108"/>
    <mergeCell ref="AU108:AW108"/>
    <mergeCell ref="A116:I116"/>
    <mergeCell ref="AU116:AW116"/>
    <mergeCell ref="A121:AW122"/>
    <mergeCell ref="E123:H123"/>
    <mergeCell ref="I123:K123"/>
    <mergeCell ref="L123:AL123"/>
    <mergeCell ref="A113:I113"/>
    <mergeCell ref="AU113:AW113"/>
    <mergeCell ref="A114:I114"/>
    <mergeCell ref="AU114:AW114"/>
    <mergeCell ref="A115:I115"/>
    <mergeCell ref="AU115:AW115"/>
    <mergeCell ref="E126:K126"/>
    <mergeCell ref="M126:U126"/>
    <mergeCell ref="W126:X126"/>
    <mergeCell ref="Z126:AA126"/>
    <mergeCell ref="AB126:AJ126"/>
    <mergeCell ref="A127:X127"/>
    <mergeCell ref="Z127:AW127"/>
    <mergeCell ref="E124:K124"/>
    <mergeCell ref="M124:U124"/>
    <mergeCell ref="W124:X124"/>
    <mergeCell ref="Z124:AA124"/>
    <mergeCell ref="AB124:AJ124"/>
    <mergeCell ref="E125:K125"/>
    <mergeCell ref="M125:U125"/>
    <mergeCell ref="W125:X125"/>
    <mergeCell ref="Z125:AA125"/>
    <mergeCell ref="AB125:AJ125"/>
    <mergeCell ref="A131:I131"/>
    <mergeCell ref="AU131:AW131"/>
    <mergeCell ref="A133:I133"/>
    <mergeCell ref="AU133:AW133"/>
    <mergeCell ref="A134:I134"/>
    <mergeCell ref="AU134:AW134"/>
    <mergeCell ref="A128:I128"/>
    <mergeCell ref="AU128:AW128"/>
    <mergeCell ref="A129:I129"/>
    <mergeCell ref="AU129:AW129"/>
    <mergeCell ref="A130:I130"/>
    <mergeCell ref="AU130:AW130"/>
    <mergeCell ref="A139:I139"/>
    <mergeCell ref="AU139:AW139"/>
    <mergeCell ref="A140:I140"/>
    <mergeCell ref="AU140:AW140"/>
    <mergeCell ref="A141:I141"/>
    <mergeCell ref="AU141:AW141"/>
    <mergeCell ref="A135:I135"/>
    <mergeCell ref="AU135:AW135"/>
    <mergeCell ref="A136:I136"/>
    <mergeCell ref="AU136:AW136"/>
    <mergeCell ref="A138:I138"/>
    <mergeCell ref="AU138:AW138"/>
    <mergeCell ref="A146:I146"/>
    <mergeCell ref="AU146:AW146"/>
    <mergeCell ref="A148:I148"/>
    <mergeCell ref="AU148:AW148"/>
    <mergeCell ref="A149:I149"/>
    <mergeCell ref="AU149:AW149"/>
    <mergeCell ref="A143:I143"/>
    <mergeCell ref="AU143:AW143"/>
    <mergeCell ref="A144:I144"/>
    <mergeCell ref="AU144:AW144"/>
    <mergeCell ref="A145:I145"/>
    <mergeCell ref="AU145:AW145"/>
    <mergeCell ref="A154:I154"/>
    <mergeCell ref="AU154:AW154"/>
    <mergeCell ref="A155:I155"/>
    <mergeCell ref="AU155:AW155"/>
    <mergeCell ref="A156:I156"/>
    <mergeCell ref="AU156:AW156"/>
    <mergeCell ref="A150:I150"/>
    <mergeCell ref="AU150:AW150"/>
    <mergeCell ref="A151:I151"/>
    <mergeCell ref="AU151:AW151"/>
    <mergeCell ref="A153:I153"/>
    <mergeCell ref="AU153:AW153"/>
    <mergeCell ref="A161:AW162"/>
    <mergeCell ref="E163:H163"/>
    <mergeCell ref="I163:K163"/>
    <mergeCell ref="L163:AL163"/>
    <mergeCell ref="E164:K164"/>
    <mergeCell ref="M164:U164"/>
    <mergeCell ref="W164:X164"/>
    <mergeCell ref="Z164:AA164"/>
    <mergeCell ref="AB164:AJ164"/>
    <mergeCell ref="A167:X167"/>
    <mergeCell ref="Z167:AW167"/>
    <mergeCell ref="A168:I168"/>
    <mergeCell ref="AU168:AW168"/>
    <mergeCell ref="A169:I169"/>
    <mergeCell ref="AU169:AW169"/>
    <mergeCell ref="E165:K165"/>
    <mergeCell ref="M165:U165"/>
    <mergeCell ref="W165:X165"/>
    <mergeCell ref="Z165:AA165"/>
    <mergeCell ref="AB165:AJ165"/>
    <mergeCell ref="E166:K166"/>
    <mergeCell ref="M166:U166"/>
    <mergeCell ref="W166:X166"/>
    <mergeCell ref="Z166:AA166"/>
    <mergeCell ref="AB166:AJ166"/>
    <mergeCell ref="A174:I174"/>
    <mergeCell ref="AU174:AW174"/>
    <mergeCell ref="A175:I175"/>
    <mergeCell ref="AU175:AW175"/>
    <mergeCell ref="A176:I176"/>
    <mergeCell ref="AU176:AW176"/>
    <mergeCell ref="A170:I170"/>
    <mergeCell ref="AU170:AW170"/>
    <mergeCell ref="A171:I171"/>
    <mergeCell ref="AU171:AW171"/>
    <mergeCell ref="A173:I173"/>
    <mergeCell ref="AU173:AW173"/>
    <mergeCell ref="A181:I181"/>
    <mergeCell ref="AU181:AW181"/>
    <mergeCell ref="A183:I183"/>
    <mergeCell ref="AU183:AW183"/>
    <mergeCell ref="A184:I184"/>
    <mergeCell ref="AU184:AW184"/>
    <mergeCell ref="A178:I178"/>
    <mergeCell ref="AU178:AW178"/>
    <mergeCell ref="A179:I179"/>
    <mergeCell ref="AU179:AW179"/>
    <mergeCell ref="A180:I180"/>
    <mergeCell ref="AU180:AW180"/>
    <mergeCell ref="A189:I189"/>
    <mergeCell ref="AU189:AW189"/>
    <mergeCell ref="A190:I190"/>
    <mergeCell ref="AU190:AW190"/>
    <mergeCell ref="A191:I191"/>
    <mergeCell ref="AU191:AW191"/>
    <mergeCell ref="A185:I185"/>
    <mergeCell ref="AU185:AW185"/>
    <mergeCell ref="A186:I186"/>
    <mergeCell ref="AU186:AW186"/>
    <mergeCell ref="A188:I188"/>
    <mergeCell ref="AU188:AW188"/>
    <mergeCell ref="A196:I196"/>
    <mergeCell ref="AU196:AW196"/>
    <mergeCell ref="A201:AW202"/>
    <mergeCell ref="E203:H203"/>
    <mergeCell ref="I203:K203"/>
    <mergeCell ref="L203:AL203"/>
    <mergeCell ref="A193:I193"/>
    <mergeCell ref="AU193:AW193"/>
    <mergeCell ref="A194:I194"/>
    <mergeCell ref="AU194:AW194"/>
    <mergeCell ref="A195:I195"/>
    <mergeCell ref="AU195:AW195"/>
    <mergeCell ref="E206:K206"/>
    <mergeCell ref="M206:U206"/>
    <mergeCell ref="W206:X206"/>
    <mergeCell ref="Z206:AA206"/>
    <mergeCell ref="AB206:AJ206"/>
    <mergeCell ref="A207:X207"/>
    <mergeCell ref="Z207:AW207"/>
    <mergeCell ref="E204:K204"/>
    <mergeCell ref="M204:U204"/>
    <mergeCell ref="W204:X204"/>
    <mergeCell ref="Z204:AA204"/>
    <mergeCell ref="AB204:AJ204"/>
    <mergeCell ref="E205:K205"/>
    <mergeCell ref="M205:U205"/>
    <mergeCell ref="W205:X205"/>
    <mergeCell ref="Z205:AA205"/>
    <mergeCell ref="AB205:AJ205"/>
    <mergeCell ref="A211:I211"/>
    <mergeCell ref="AU211:AW211"/>
    <mergeCell ref="A213:I213"/>
    <mergeCell ref="AU213:AW213"/>
    <mergeCell ref="A214:I214"/>
    <mergeCell ref="AU214:AW214"/>
    <mergeCell ref="A208:I208"/>
    <mergeCell ref="AU208:AW208"/>
    <mergeCell ref="A209:I209"/>
    <mergeCell ref="AU209:AW209"/>
    <mergeCell ref="A210:I210"/>
    <mergeCell ref="AU210:AW210"/>
    <mergeCell ref="A219:I219"/>
    <mergeCell ref="AU219:AW219"/>
    <mergeCell ref="A220:I220"/>
    <mergeCell ref="AU220:AW220"/>
    <mergeCell ref="A221:I221"/>
    <mergeCell ref="AU221:AW221"/>
    <mergeCell ref="A215:I215"/>
    <mergeCell ref="AU215:AW215"/>
    <mergeCell ref="A216:I216"/>
    <mergeCell ref="AU216:AW216"/>
    <mergeCell ref="A218:I218"/>
    <mergeCell ref="AU218:AW218"/>
    <mergeCell ref="A226:I226"/>
    <mergeCell ref="AU226:AW226"/>
    <mergeCell ref="A228:I228"/>
    <mergeCell ref="AU228:AW228"/>
    <mergeCell ref="A229:I229"/>
    <mergeCell ref="AU229:AW229"/>
    <mergeCell ref="A223:I223"/>
    <mergeCell ref="AU223:AW223"/>
    <mergeCell ref="A224:I224"/>
    <mergeCell ref="AU224:AW224"/>
    <mergeCell ref="A225:I225"/>
    <mergeCell ref="AU225:AW225"/>
    <mergeCell ref="A234:I234"/>
    <mergeCell ref="AU234:AW234"/>
    <mergeCell ref="A235:I235"/>
    <mergeCell ref="AU235:AW235"/>
    <mergeCell ref="A236:I236"/>
    <mergeCell ref="AU236:AW236"/>
    <mergeCell ref="A230:I230"/>
    <mergeCell ref="AU230:AW230"/>
    <mergeCell ref="A231:I231"/>
    <mergeCell ref="AU231:AW231"/>
    <mergeCell ref="A233:I233"/>
    <mergeCell ref="AU233:AW233"/>
    <mergeCell ref="A241:AW242"/>
    <mergeCell ref="E243:H243"/>
    <mergeCell ref="I243:K243"/>
    <mergeCell ref="L243:AL243"/>
    <mergeCell ref="E244:K244"/>
    <mergeCell ref="M244:U244"/>
    <mergeCell ref="W244:X244"/>
    <mergeCell ref="Z244:AA244"/>
    <mergeCell ref="AB244:AJ244"/>
    <mergeCell ref="A247:X247"/>
    <mergeCell ref="Z247:AW247"/>
    <mergeCell ref="A248:I248"/>
    <mergeCell ref="AU248:AW248"/>
    <mergeCell ref="A249:I249"/>
    <mergeCell ref="AU249:AW249"/>
    <mergeCell ref="E245:K245"/>
    <mergeCell ref="M245:U245"/>
    <mergeCell ref="W245:X245"/>
    <mergeCell ref="Z245:AA245"/>
    <mergeCell ref="AB245:AJ245"/>
    <mergeCell ref="E246:K246"/>
    <mergeCell ref="M246:U246"/>
    <mergeCell ref="W246:X246"/>
    <mergeCell ref="Z246:AA246"/>
    <mergeCell ref="AB246:AJ246"/>
    <mergeCell ref="A254:I254"/>
    <mergeCell ref="AU254:AW254"/>
    <mergeCell ref="A255:I255"/>
    <mergeCell ref="AU255:AW255"/>
    <mergeCell ref="A256:I256"/>
    <mergeCell ref="AU256:AW256"/>
    <mergeCell ref="A250:I250"/>
    <mergeCell ref="AU250:AW250"/>
    <mergeCell ref="A251:I251"/>
    <mergeCell ref="AU251:AW251"/>
    <mergeCell ref="A253:I253"/>
    <mergeCell ref="AU253:AW253"/>
    <mergeCell ref="A261:I261"/>
    <mergeCell ref="AU261:AW261"/>
    <mergeCell ref="A263:I263"/>
    <mergeCell ref="AU263:AW263"/>
    <mergeCell ref="A264:I264"/>
    <mergeCell ref="AU264:AW264"/>
    <mergeCell ref="A258:I258"/>
    <mergeCell ref="AU258:AW258"/>
    <mergeCell ref="A259:I259"/>
    <mergeCell ref="AU259:AW259"/>
    <mergeCell ref="A260:I260"/>
    <mergeCell ref="AU260:AW260"/>
    <mergeCell ref="A269:I269"/>
    <mergeCell ref="AU269:AW269"/>
    <mergeCell ref="A270:I270"/>
    <mergeCell ref="AU270:AW270"/>
    <mergeCell ref="A271:I271"/>
    <mergeCell ref="AU271:AW271"/>
    <mergeCell ref="A265:I265"/>
    <mergeCell ref="AU265:AW265"/>
    <mergeCell ref="A266:I266"/>
    <mergeCell ref="AU266:AW266"/>
    <mergeCell ref="A268:I268"/>
    <mergeCell ref="AU268:AW268"/>
    <mergeCell ref="A276:I276"/>
    <mergeCell ref="AU276:AW276"/>
    <mergeCell ref="A281:AW282"/>
    <mergeCell ref="E283:H283"/>
    <mergeCell ref="I283:K283"/>
    <mergeCell ref="L283:AL283"/>
    <mergeCell ref="A273:I273"/>
    <mergeCell ref="AU273:AW273"/>
    <mergeCell ref="A274:I274"/>
    <mergeCell ref="AU274:AW274"/>
    <mergeCell ref="A275:I275"/>
    <mergeCell ref="AU275:AW275"/>
    <mergeCell ref="E286:K286"/>
    <mergeCell ref="M286:U286"/>
    <mergeCell ref="W286:X286"/>
    <mergeCell ref="Z286:AA286"/>
    <mergeCell ref="AB286:AJ286"/>
    <mergeCell ref="A287:X287"/>
    <mergeCell ref="Z287:AW287"/>
    <mergeCell ref="E284:K284"/>
    <mergeCell ref="M284:U284"/>
    <mergeCell ref="W284:X284"/>
    <mergeCell ref="Z284:AA284"/>
    <mergeCell ref="AB284:AJ284"/>
    <mergeCell ref="E285:K285"/>
    <mergeCell ref="M285:U285"/>
    <mergeCell ref="W285:X285"/>
    <mergeCell ref="Z285:AA285"/>
    <mergeCell ref="AB285:AJ285"/>
    <mergeCell ref="A291:I291"/>
    <mergeCell ref="AU291:AW291"/>
    <mergeCell ref="A293:I293"/>
    <mergeCell ref="AU293:AW293"/>
    <mergeCell ref="A294:I294"/>
    <mergeCell ref="AU294:AW294"/>
    <mergeCell ref="A288:I288"/>
    <mergeCell ref="AU288:AW288"/>
    <mergeCell ref="A289:I289"/>
    <mergeCell ref="AU289:AW289"/>
    <mergeCell ref="A290:I290"/>
    <mergeCell ref="AU290:AW290"/>
    <mergeCell ref="A299:I299"/>
    <mergeCell ref="AU299:AW299"/>
    <mergeCell ref="A300:I300"/>
    <mergeCell ref="AU300:AW300"/>
    <mergeCell ref="A301:I301"/>
    <mergeCell ref="AU301:AW301"/>
    <mergeCell ref="A295:I295"/>
    <mergeCell ref="AU295:AW295"/>
    <mergeCell ref="A296:I296"/>
    <mergeCell ref="AU296:AW296"/>
    <mergeCell ref="A298:I298"/>
    <mergeCell ref="AU298:AW298"/>
    <mergeCell ref="A306:I306"/>
    <mergeCell ref="AU306:AW306"/>
    <mergeCell ref="A308:I308"/>
    <mergeCell ref="AU308:AW308"/>
    <mergeCell ref="A309:I309"/>
    <mergeCell ref="AU309:AW309"/>
    <mergeCell ref="A303:I303"/>
    <mergeCell ref="AU303:AW303"/>
    <mergeCell ref="A304:I304"/>
    <mergeCell ref="AU304:AW304"/>
    <mergeCell ref="A305:I305"/>
    <mergeCell ref="AU305:AW305"/>
    <mergeCell ref="A314:I314"/>
    <mergeCell ref="AU314:AW314"/>
    <mergeCell ref="A315:I315"/>
    <mergeCell ref="AU315:AW315"/>
    <mergeCell ref="A316:I316"/>
    <mergeCell ref="AU316:AW316"/>
    <mergeCell ref="A310:I310"/>
    <mergeCell ref="AU310:AW310"/>
    <mergeCell ref="A311:I311"/>
    <mergeCell ref="AU311:AW311"/>
    <mergeCell ref="A313:I313"/>
    <mergeCell ref="AU313:AW313"/>
  </mergeCells>
  <pageMargins left="0.35433070866141736" right="0.35433070866141736" top="0.35433070866141736" bottom="0.35433070866141736" header="0" footer="0"/>
  <pageSetup paperSize="9" orientation="landscape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9"/>
  <dimension ref="A1:AW40"/>
  <sheetViews>
    <sheetView zoomScaleNormal="100" workbookViewId="0">
      <selection activeCell="V4" sqref="V4:Y4"/>
    </sheetView>
  </sheetViews>
  <sheetFormatPr baseColWidth="10" defaultRowHeight="15" x14ac:dyDescent="0.25"/>
  <cols>
    <col min="1" max="22" width="2.85546875" customWidth="1"/>
    <col min="23" max="38" width="2.7109375" customWidth="1"/>
    <col min="39" max="49" width="2.85546875" customWidth="1"/>
  </cols>
  <sheetData>
    <row r="1" spans="1:49" ht="15" customHeight="1" x14ac:dyDescent="0.25">
      <c r="A1" s="591" t="s">
        <v>208</v>
      </c>
      <c r="B1" s="591"/>
      <c r="C1" s="591"/>
      <c r="D1" s="591"/>
      <c r="E1" s="591"/>
      <c r="F1" s="591"/>
      <c r="G1" s="591"/>
      <c r="H1" s="591"/>
      <c r="I1" s="591"/>
      <c r="J1" s="591"/>
      <c r="K1" s="591"/>
      <c r="L1" s="591"/>
      <c r="M1" s="591"/>
      <c r="N1" s="591"/>
      <c r="O1" s="591"/>
      <c r="P1" s="591"/>
      <c r="Q1" s="591"/>
      <c r="R1" s="591"/>
      <c r="S1" s="591"/>
      <c r="T1" s="591"/>
      <c r="U1" s="591"/>
      <c r="V1" s="591"/>
      <c r="W1" s="591"/>
      <c r="X1" s="591"/>
      <c r="Y1" s="591"/>
      <c r="Z1" s="591"/>
      <c r="AA1" s="591"/>
      <c r="AB1" s="591"/>
      <c r="AC1" s="591"/>
      <c r="AD1" s="591"/>
      <c r="AE1" s="591"/>
      <c r="AF1" s="591"/>
      <c r="AG1" s="591"/>
      <c r="AH1" s="591"/>
      <c r="AI1" s="591"/>
      <c r="AJ1" s="591"/>
      <c r="AK1" s="591"/>
      <c r="AL1" s="591"/>
      <c r="AM1" s="591"/>
      <c r="AN1" s="591"/>
      <c r="AO1" s="591"/>
      <c r="AP1" s="591"/>
      <c r="AQ1" s="591"/>
      <c r="AR1" s="591"/>
      <c r="AS1" s="591"/>
      <c r="AT1" s="591"/>
      <c r="AU1" s="591"/>
      <c r="AV1" s="591"/>
      <c r="AW1" s="591"/>
    </row>
    <row r="2" spans="1:49" ht="15" customHeight="1" x14ac:dyDescent="0.25">
      <c r="A2" s="591"/>
      <c r="B2" s="591"/>
      <c r="C2" s="591"/>
      <c r="D2" s="591"/>
      <c r="E2" s="591"/>
      <c r="F2" s="591"/>
      <c r="G2" s="591"/>
      <c r="H2" s="591"/>
      <c r="I2" s="591"/>
      <c r="J2" s="591"/>
      <c r="K2" s="591"/>
      <c r="L2" s="591"/>
      <c r="M2" s="591"/>
      <c r="N2" s="591"/>
      <c r="O2" s="591"/>
      <c r="P2" s="591"/>
      <c r="Q2" s="591"/>
      <c r="R2" s="591"/>
      <c r="S2" s="591"/>
      <c r="T2" s="591"/>
      <c r="U2" s="591"/>
      <c r="V2" s="591"/>
      <c r="W2" s="591"/>
      <c r="X2" s="591"/>
      <c r="Y2" s="591"/>
      <c r="Z2" s="591"/>
      <c r="AA2" s="591"/>
      <c r="AB2" s="591"/>
      <c r="AC2" s="591"/>
      <c r="AD2" s="591"/>
      <c r="AE2" s="591"/>
      <c r="AF2" s="591"/>
      <c r="AG2" s="591"/>
      <c r="AH2" s="591"/>
      <c r="AI2" s="591"/>
      <c r="AJ2" s="591"/>
      <c r="AK2" s="591"/>
      <c r="AL2" s="591"/>
      <c r="AM2" s="591"/>
      <c r="AN2" s="591"/>
      <c r="AO2" s="591"/>
      <c r="AP2" s="591"/>
      <c r="AQ2" s="591"/>
      <c r="AR2" s="591"/>
      <c r="AS2" s="591"/>
      <c r="AT2" s="591"/>
      <c r="AU2" s="591"/>
      <c r="AV2" s="591"/>
      <c r="AW2" s="591"/>
    </row>
    <row r="3" spans="1:49" ht="15.75" thickBot="1" x14ac:dyDescent="0.3">
      <c r="B3" t="s">
        <v>331</v>
      </c>
      <c r="E3" s="593"/>
      <c r="F3" s="593"/>
      <c r="G3" s="593"/>
      <c r="H3" s="593"/>
      <c r="I3" s="208"/>
      <c r="J3" s="208"/>
      <c r="K3" s="208"/>
      <c r="L3" s="592" t="s">
        <v>334</v>
      </c>
      <c r="M3" s="592"/>
      <c r="N3" s="592"/>
      <c r="O3" s="592"/>
      <c r="P3" s="592"/>
      <c r="Q3" s="592"/>
      <c r="R3" s="592"/>
      <c r="S3" s="592"/>
      <c r="T3" s="592"/>
      <c r="U3" s="592"/>
      <c r="V3" s="592"/>
      <c r="W3" s="592"/>
      <c r="X3" s="592"/>
      <c r="Y3" s="592"/>
      <c r="Z3" s="592"/>
      <c r="AA3" s="592"/>
      <c r="AB3" s="592"/>
      <c r="AC3" s="592"/>
      <c r="AD3" s="592"/>
      <c r="AE3" s="592"/>
      <c r="AF3" s="592"/>
      <c r="AG3" s="592"/>
      <c r="AH3" s="592"/>
      <c r="AI3" s="592"/>
      <c r="AJ3" s="592"/>
      <c r="AK3" s="592"/>
      <c r="AL3" s="592"/>
    </row>
    <row r="4" spans="1:49" ht="15.75" thickBot="1" x14ac:dyDescent="0.3">
      <c r="B4" t="s">
        <v>336</v>
      </c>
      <c r="E4" s="208" t="str">
        <f>Grundeinstellungen!G5</f>
        <v>Regionalliga Süd/Ost</v>
      </c>
      <c r="F4" s="208"/>
      <c r="G4" s="208"/>
      <c r="H4" s="208"/>
      <c r="I4" s="208"/>
      <c r="J4" s="208"/>
      <c r="K4" s="208"/>
      <c r="L4" s="94"/>
      <c r="M4" s="594"/>
      <c r="N4" s="595"/>
      <c r="O4" s="595"/>
      <c r="P4" s="595"/>
      <c r="Q4" s="595"/>
      <c r="R4" s="595"/>
      <c r="S4" s="595"/>
      <c r="T4" s="595"/>
      <c r="U4" s="596"/>
      <c r="V4" s="95" t="s">
        <v>337</v>
      </c>
      <c r="W4" s="580"/>
      <c r="X4" s="580"/>
      <c r="Y4" s="108" t="s">
        <v>301</v>
      </c>
      <c r="Z4" s="580"/>
      <c r="AA4" s="581"/>
      <c r="AB4" s="594"/>
      <c r="AC4" s="595"/>
      <c r="AD4" s="595"/>
      <c r="AE4" s="595"/>
      <c r="AF4" s="595"/>
      <c r="AG4" s="595"/>
      <c r="AH4" s="595"/>
      <c r="AI4" s="595"/>
      <c r="AJ4" s="596"/>
      <c r="AK4" s="93"/>
      <c r="AM4" s="58" t="s">
        <v>29</v>
      </c>
      <c r="AQ4" s="4"/>
      <c r="AR4" s="4"/>
      <c r="AS4" s="4"/>
      <c r="AT4" s="4"/>
      <c r="AU4" s="4"/>
      <c r="AV4" s="4"/>
      <c r="AW4" s="4"/>
    </row>
    <row r="5" spans="1:49" ht="15.75" thickBot="1" x14ac:dyDescent="0.3">
      <c r="B5" t="s">
        <v>335</v>
      </c>
      <c r="E5" s="382"/>
      <c r="F5" s="382"/>
      <c r="G5" s="382"/>
      <c r="H5" s="382"/>
      <c r="I5" s="382"/>
      <c r="J5" s="382"/>
      <c r="K5" s="382"/>
      <c r="M5" s="597"/>
      <c r="N5" s="598"/>
      <c r="O5" s="598"/>
      <c r="P5" s="598"/>
      <c r="Q5" s="598"/>
      <c r="R5" s="598"/>
      <c r="S5" s="598"/>
      <c r="T5" s="598"/>
      <c r="U5" s="599"/>
      <c r="V5" s="96" t="s">
        <v>338</v>
      </c>
      <c r="W5" s="182"/>
      <c r="X5" s="182"/>
      <c r="Y5" s="105" t="s">
        <v>301</v>
      </c>
      <c r="Z5" s="182"/>
      <c r="AA5" s="590"/>
      <c r="AB5" s="597"/>
      <c r="AC5" s="598"/>
      <c r="AD5" s="598"/>
      <c r="AE5" s="598"/>
      <c r="AF5" s="598"/>
      <c r="AG5" s="598"/>
      <c r="AH5" s="598"/>
      <c r="AI5" s="598"/>
      <c r="AJ5" s="599"/>
    </row>
    <row r="6" spans="1:49" ht="15.75" thickBot="1" x14ac:dyDescent="0.3">
      <c r="B6" t="s">
        <v>33</v>
      </c>
      <c r="E6" s="582">
        <f ca="1">TODAY()</f>
        <v>42418</v>
      </c>
      <c r="F6" s="582"/>
      <c r="G6" s="582"/>
      <c r="H6" s="582"/>
      <c r="I6" s="582"/>
      <c r="J6" s="582"/>
      <c r="K6" s="582"/>
      <c r="M6" s="425">
        <f>Spielbericht!P6</f>
        <v>0</v>
      </c>
      <c r="N6" s="426"/>
      <c r="O6" s="426"/>
      <c r="P6" s="426"/>
      <c r="Q6" s="426"/>
      <c r="R6" s="426"/>
      <c r="S6" s="426"/>
      <c r="T6" s="426"/>
      <c r="U6" s="427"/>
      <c r="V6" s="91" t="s">
        <v>339</v>
      </c>
      <c r="W6" s="573"/>
      <c r="X6" s="573"/>
      <c r="Y6" s="107" t="s">
        <v>301</v>
      </c>
      <c r="Z6" s="573"/>
      <c r="AA6" s="574"/>
      <c r="AB6" s="425">
        <f>Spielbericht!AS6</f>
        <v>0</v>
      </c>
      <c r="AC6" s="426"/>
      <c r="AD6" s="426"/>
      <c r="AE6" s="426"/>
      <c r="AF6" s="426"/>
      <c r="AG6" s="426"/>
      <c r="AH6" s="426"/>
      <c r="AI6" s="426"/>
      <c r="AJ6" s="427"/>
      <c r="AK6" s="5"/>
      <c r="AL6" s="5"/>
      <c r="AM6" s="58" t="s">
        <v>332</v>
      </c>
      <c r="AN6" s="5"/>
      <c r="AO6" s="4"/>
      <c r="AP6" s="4"/>
      <c r="AQ6" s="4"/>
      <c r="AR6" s="4"/>
      <c r="AS6" s="58" t="s">
        <v>333</v>
      </c>
      <c r="AU6" s="4"/>
      <c r="AV6" s="4"/>
      <c r="AW6" s="4"/>
    </row>
    <row r="7" spans="1:49" ht="15" customHeight="1" thickBot="1" x14ac:dyDescent="0.3">
      <c r="A7" s="208"/>
      <c r="B7" s="208"/>
      <c r="C7" s="208"/>
      <c r="D7" s="208"/>
      <c r="E7" s="208"/>
      <c r="F7" s="208"/>
      <c r="G7" s="208"/>
      <c r="H7" s="208"/>
      <c r="I7" s="208"/>
      <c r="J7" s="208"/>
      <c r="K7" s="208"/>
      <c r="L7" s="208"/>
      <c r="M7" s="208"/>
      <c r="N7" s="208"/>
      <c r="O7" s="208"/>
      <c r="P7" s="208"/>
      <c r="Q7" s="208"/>
      <c r="R7" s="208"/>
      <c r="S7" s="208"/>
      <c r="T7" s="208"/>
      <c r="U7" s="208"/>
      <c r="V7" s="208"/>
      <c r="W7" s="208"/>
      <c r="X7" s="208"/>
      <c r="Z7" s="208"/>
      <c r="AA7" s="208"/>
      <c r="AB7" s="208"/>
      <c r="AC7" s="208"/>
      <c r="AD7" s="208"/>
      <c r="AE7" s="208"/>
      <c r="AF7" s="208"/>
      <c r="AG7" s="208"/>
      <c r="AH7" s="208"/>
      <c r="AI7" s="208"/>
      <c r="AJ7" s="208"/>
      <c r="AK7" s="208"/>
      <c r="AL7" s="208"/>
      <c r="AM7" s="208"/>
      <c r="AN7" s="208"/>
      <c r="AO7" s="208"/>
      <c r="AP7" s="208"/>
      <c r="AQ7" s="208"/>
      <c r="AR7" s="208"/>
      <c r="AS7" s="208"/>
      <c r="AT7" s="208"/>
      <c r="AU7" s="208"/>
      <c r="AV7" s="208"/>
      <c r="AW7" s="208"/>
    </row>
    <row r="8" spans="1:49" ht="15.75" customHeight="1" x14ac:dyDescent="0.25">
      <c r="A8" s="575" t="str">
        <f>IF($M$4="","",$M$4)</f>
        <v/>
      </c>
      <c r="B8" s="576"/>
      <c r="C8" s="576"/>
      <c r="D8" s="576"/>
      <c r="E8" s="576"/>
      <c r="F8" s="576"/>
      <c r="G8" s="576"/>
      <c r="H8" s="576"/>
      <c r="I8" s="576"/>
      <c r="J8" s="101"/>
      <c r="K8" s="89"/>
      <c r="L8" s="97"/>
      <c r="M8" s="97"/>
      <c r="N8" s="97"/>
      <c r="O8" s="97"/>
      <c r="P8" s="97"/>
      <c r="Q8" s="97"/>
      <c r="R8" s="97"/>
      <c r="S8" s="97"/>
      <c r="T8" s="97"/>
      <c r="U8" s="97"/>
      <c r="V8" s="97"/>
      <c r="W8" s="97"/>
      <c r="X8" s="97"/>
      <c r="Y8" s="97"/>
      <c r="Z8" s="97"/>
      <c r="AA8" s="97"/>
      <c r="AB8" s="97"/>
      <c r="AC8" s="97"/>
      <c r="AD8" s="97"/>
      <c r="AE8" s="97"/>
      <c r="AF8" s="97"/>
      <c r="AG8" s="97"/>
      <c r="AH8" s="97"/>
      <c r="AI8" s="97"/>
      <c r="AJ8" s="97"/>
      <c r="AK8" s="97"/>
      <c r="AL8" s="97"/>
      <c r="AM8" s="97"/>
      <c r="AN8" s="97"/>
      <c r="AO8" s="97"/>
      <c r="AP8" s="97"/>
      <c r="AQ8" s="97"/>
      <c r="AR8" s="97"/>
      <c r="AS8" s="97"/>
      <c r="AT8" s="98"/>
      <c r="AU8" s="579"/>
      <c r="AV8" s="580"/>
      <c r="AW8" s="581"/>
    </row>
    <row r="9" spans="1:49" ht="15.75" customHeight="1" thickBot="1" x14ac:dyDescent="0.3">
      <c r="A9" s="570" t="str">
        <f>IF($M$5="","",$M$5)</f>
        <v/>
      </c>
      <c r="B9" s="571"/>
      <c r="C9" s="571"/>
      <c r="D9" s="571"/>
      <c r="E9" s="571"/>
      <c r="F9" s="571"/>
      <c r="G9" s="571"/>
      <c r="H9" s="571"/>
      <c r="I9" s="571"/>
      <c r="J9" s="102"/>
      <c r="K9" s="91"/>
      <c r="L9" s="99"/>
      <c r="M9" s="99"/>
      <c r="N9" s="99"/>
      <c r="O9" s="99"/>
      <c r="P9" s="99"/>
      <c r="Q9" s="99"/>
      <c r="R9" s="99"/>
      <c r="S9" s="99"/>
      <c r="T9" s="99"/>
      <c r="U9" s="99"/>
      <c r="V9" s="99"/>
      <c r="W9" s="99"/>
      <c r="X9" s="99"/>
      <c r="Y9" s="99"/>
      <c r="Z9" s="99"/>
      <c r="AA9" s="99"/>
      <c r="AB9" s="99"/>
      <c r="AC9" s="99"/>
      <c r="AD9" s="99"/>
      <c r="AE9" s="99"/>
      <c r="AF9" s="99"/>
      <c r="AG9" s="99"/>
      <c r="AH9" s="99"/>
      <c r="AI9" s="99"/>
      <c r="AJ9" s="99"/>
      <c r="AK9" s="99"/>
      <c r="AL9" s="99"/>
      <c r="AM9" s="99"/>
      <c r="AN9" s="99"/>
      <c r="AO9" s="99"/>
      <c r="AP9" s="99"/>
      <c r="AQ9" s="99"/>
      <c r="AR9" s="99"/>
      <c r="AS9" s="99"/>
      <c r="AT9" s="100"/>
      <c r="AU9" s="572"/>
      <c r="AV9" s="573"/>
      <c r="AW9" s="574"/>
    </row>
    <row r="10" spans="1:49" ht="15.75" customHeight="1" x14ac:dyDescent="0.25">
      <c r="A10" s="575" t="str">
        <f>IF($AB$4="","",$AB$4)</f>
        <v/>
      </c>
      <c r="B10" s="576"/>
      <c r="C10" s="576"/>
      <c r="D10" s="576"/>
      <c r="E10" s="576"/>
      <c r="F10" s="576"/>
      <c r="G10" s="576"/>
      <c r="H10" s="576"/>
      <c r="I10" s="576"/>
      <c r="J10" s="101"/>
      <c r="K10" s="89"/>
      <c r="L10" s="97"/>
      <c r="M10" s="97"/>
      <c r="N10" s="97"/>
      <c r="O10" s="97"/>
      <c r="P10" s="97"/>
      <c r="Q10" s="97"/>
      <c r="R10" s="97"/>
      <c r="S10" s="97"/>
      <c r="T10" s="97"/>
      <c r="U10" s="97"/>
      <c r="V10" s="97"/>
      <c r="W10" s="97"/>
      <c r="X10" s="97"/>
      <c r="Y10" s="97"/>
      <c r="Z10" s="97"/>
      <c r="AA10" s="97"/>
      <c r="AB10" s="97"/>
      <c r="AC10" s="97"/>
      <c r="AD10" s="97"/>
      <c r="AE10" s="97"/>
      <c r="AF10" s="97"/>
      <c r="AG10" s="97"/>
      <c r="AH10" s="97"/>
      <c r="AI10" s="97"/>
      <c r="AJ10" s="97"/>
      <c r="AK10" s="97"/>
      <c r="AL10" s="97"/>
      <c r="AM10" s="97"/>
      <c r="AN10" s="97"/>
      <c r="AO10" s="97"/>
      <c r="AP10" s="97"/>
      <c r="AQ10" s="97"/>
      <c r="AR10" s="97"/>
      <c r="AS10" s="97"/>
      <c r="AT10" s="98"/>
      <c r="AU10" s="386"/>
      <c r="AV10" s="577"/>
      <c r="AW10" s="578"/>
    </row>
    <row r="11" spans="1:49" ht="15.75" customHeight="1" thickBot="1" x14ac:dyDescent="0.3">
      <c r="A11" s="570" t="str">
        <f>IF($AB$5="","",$AB$5)</f>
        <v/>
      </c>
      <c r="B11" s="571"/>
      <c r="C11" s="571"/>
      <c r="D11" s="571"/>
      <c r="E11" s="571"/>
      <c r="F11" s="571"/>
      <c r="G11" s="571"/>
      <c r="H11" s="571"/>
      <c r="I11" s="571"/>
      <c r="J11" s="102"/>
      <c r="K11" s="91"/>
      <c r="L11" s="99"/>
      <c r="M11" s="99"/>
      <c r="N11" s="99"/>
      <c r="O11" s="99"/>
      <c r="P11" s="99"/>
      <c r="Q11" s="99"/>
      <c r="R11" s="99"/>
      <c r="S11" s="99"/>
      <c r="T11" s="99"/>
      <c r="U11" s="99"/>
      <c r="V11" s="99"/>
      <c r="W11" s="99"/>
      <c r="X11" s="99"/>
      <c r="Y11" s="99"/>
      <c r="Z11" s="99"/>
      <c r="AA11" s="99"/>
      <c r="AB11" s="99"/>
      <c r="AC11" s="99"/>
      <c r="AD11" s="99"/>
      <c r="AE11" s="99"/>
      <c r="AF11" s="99"/>
      <c r="AG11" s="99"/>
      <c r="AH11" s="99"/>
      <c r="AI11" s="99"/>
      <c r="AJ11" s="99"/>
      <c r="AK11" s="99"/>
      <c r="AL11" s="99"/>
      <c r="AM11" s="99"/>
      <c r="AN11" s="99"/>
      <c r="AO11" s="99"/>
      <c r="AP11" s="99"/>
      <c r="AQ11" s="99"/>
      <c r="AR11" s="99"/>
      <c r="AS11" s="99"/>
      <c r="AT11" s="100"/>
      <c r="AU11" s="572"/>
      <c r="AV11" s="573"/>
      <c r="AW11" s="574"/>
    </row>
    <row r="12" spans="1:49" ht="4.5" customHeight="1" thickBot="1" x14ac:dyDescent="0.3">
      <c r="A12" s="106"/>
      <c r="B12" s="106"/>
      <c r="C12" s="106"/>
      <c r="D12" s="106"/>
      <c r="E12" s="106"/>
      <c r="F12" s="106"/>
      <c r="G12" s="106"/>
      <c r="H12" s="106"/>
      <c r="I12" s="106"/>
      <c r="K12" s="5"/>
      <c r="L12" s="5"/>
    </row>
    <row r="13" spans="1:49" ht="15.75" customHeight="1" x14ac:dyDescent="0.25">
      <c r="A13" s="575" t="str">
        <f>IF($M$4="","",$M$4)</f>
        <v/>
      </c>
      <c r="B13" s="576"/>
      <c r="C13" s="576"/>
      <c r="D13" s="576"/>
      <c r="E13" s="576"/>
      <c r="F13" s="576"/>
      <c r="G13" s="576"/>
      <c r="H13" s="576"/>
      <c r="I13" s="576"/>
      <c r="J13" s="101"/>
      <c r="K13" s="89"/>
      <c r="L13" s="97"/>
      <c r="M13" s="97"/>
      <c r="N13" s="97"/>
      <c r="O13" s="97"/>
      <c r="P13" s="97"/>
      <c r="Q13" s="97"/>
      <c r="R13" s="97"/>
      <c r="S13" s="97"/>
      <c r="T13" s="97"/>
      <c r="U13" s="97"/>
      <c r="V13" s="97"/>
      <c r="W13" s="97"/>
      <c r="X13" s="97"/>
      <c r="Y13" s="97"/>
      <c r="Z13" s="97"/>
      <c r="AA13" s="97"/>
      <c r="AB13" s="97"/>
      <c r="AC13" s="97"/>
      <c r="AD13" s="97"/>
      <c r="AE13" s="97"/>
      <c r="AF13" s="97"/>
      <c r="AG13" s="97"/>
      <c r="AH13" s="97"/>
      <c r="AI13" s="97"/>
      <c r="AJ13" s="97"/>
      <c r="AK13" s="97"/>
      <c r="AL13" s="97"/>
      <c r="AM13" s="97"/>
      <c r="AN13" s="97"/>
      <c r="AO13" s="97"/>
      <c r="AP13" s="97"/>
      <c r="AQ13" s="97"/>
      <c r="AR13" s="97"/>
      <c r="AS13" s="97"/>
      <c r="AT13" s="98"/>
      <c r="AU13" s="579"/>
      <c r="AV13" s="580"/>
      <c r="AW13" s="581"/>
    </row>
    <row r="14" spans="1:49" ht="15.75" customHeight="1" thickBot="1" x14ac:dyDescent="0.3">
      <c r="A14" s="570" t="str">
        <f>IF($M$5="","",$M$5)</f>
        <v/>
      </c>
      <c r="B14" s="571"/>
      <c r="C14" s="571"/>
      <c r="D14" s="571"/>
      <c r="E14" s="571"/>
      <c r="F14" s="571"/>
      <c r="G14" s="571"/>
      <c r="H14" s="571"/>
      <c r="I14" s="571"/>
      <c r="J14" s="102"/>
      <c r="K14" s="91"/>
      <c r="L14" s="99"/>
      <c r="M14" s="99"/>
      <c r="N14" s="99"/>
      <c r="O14" s="99"/>
      <c r="P14" s="99"/>
      <c r="Q14" s="99"/>
      <c r="R14" s="99"/>
      <c r="S14" s="99"/>
      <c r="T14" s="99"/>
      <c r="U14" s="99"/>
      <c r="V14" s="99"/>
      <c r="W14" s="99"/>
      <c r="X14" s="99"/>
      <c r="Y14" s="99"/>
      <c r="Z14" s="99"/>
      <c r="AA14" s="99"/>
      <c r="AB14" s="99"/>
      <c r="AC14" s="99"/>
      <c r="AD14" s="99"/>
      <c r="AE14" s="99"/>
      <c r="AF14" s="99"/>
      <c r="AG14" s="99"/>
      <c r="AH14" s="99"/>
      <c r="AI14" s="99"/>
      <c r="AJ14" s="99"/>
      <c r="AK14" s="99"/>
      <c r="AL14" s="99"/>
      <c r="AM14" s="99"/>
      <c r="AN14" s="99"/>
      <c r="AO14" s="99"/>
      <c r="AP14" s="99"/>
      <c r="AQ14" s="99"/>
      <c r="AR14" s="99"/>
      <c r="AS14" s="99"/>
      <c r="AT14" s="100"/>
      <c r="AU14" s="572"/>
      <c r="AV14" s="573"/>
      <c r="AW14" s="574"/>
    </row>
    <row r="15" spans="1:49" ht="15.75" customHeight="1" x14ac:dyDescent="0.25">
      <c r="A15" s="575" t="str">
        <f>IF($AB$4="","",$AB$4)</f>
        <v/>
      </c>
      <c r="B15" s="576"/>
      <c r="C15" s="576"/>
      <c r="D15" s="576"/>
      <c r="E15" s="576"/>
      <c r="F15" s="576"/>
      <c r="G15" s="576"/>
      <c r="H15" s="576"/>
      <c r="I15" s="576"/>
      <c r="J15" s="101"/>
      <c r="K15" s="89"/>
      <c r="L15" s="97"/>
      <c r="M15" s="97"/>
      <c r="N15" s="97"/>
      <c r="O15" s="97"/>
      <c r="P15" s="97"/>
      <c r="Q15" s="97"/>
      <c r="R15" s="97"/>
      <c r="S15" s="97"/>
      <c r="T15" s="97"/>
      <c r="U15" s="97"/>
      <c r="V15" s="97"/>
      <c r="W15" s="97"/>
      <c r="X15" s="97"/>
      <c r="Y15" s="97"/>
      <c r="Z15" s="97"/>
      <c r="AA15" s="97"/>
      <c r="AB15" s="97"/>
      <c r="AC15" s="97"/>
      <c r="AD15" s="97"/>
      <c r="AE15" s="97"/>
      <c r="AF15" s="97"/>
      <c r="AG15" s="97"/>
      <c r="AH15" s="97"/>
      <c r="AI15" s="97"/>
      <c r="AJ15" s="97"/>
      <c r="AK15" s="97"/>
      <c r="AL15" s="97"/>
      <c r="AM15" s="97"/>
      <c r="AN15" s="97"/>
      <c r="AO15" s="97"/>
      <c r="AP15" s="97"/>
      <c r="AQ15" s="97"/>
      <c r="AR15" s="97"/>
      <c r="AS15" s="97"/>
      <c r="AT15" s="98"/>
      <c r="AU15" s="386"/>
      <c r="AV15" s="577"/>
      <c r="AW15" s="578"/>
    </row>
    <row r="16" spans="1:49" ht="15.75" customHeight="1" thickBot="1" x14ac:dyDescent="0.3">
      <c r="A16" s="570" t="str">
        <f>IF($AB$5="","",$AB$5)</f>
        <v/>
      </c>
      <c r="B16" s="571"/>
      <c r="C16" s="571"/>
      <c r="D16" s="571"/>
      <c r="E16" s="571"/>
      <c r="F16" s="571"/>
      <c r="G16" s="571"/>
      <c r="H16" s="571"/>
      <c r="I16" s="571"/>
      <c r="J16" s="102"/>
      <c r="K16" s="91"/>
      <c r="L16" s="99"/>
      <c r="M16" s="99"/>
      <c r="N16" s="99"/>
      <c r="O16" s="99"/>
      <c r="P16" s="99"/>
      <c r="Q16" s="99"/>
      <c r="R16" s="99"/>
      <c r="S16" s="99"/>
      <c r="T16" s="99"/>
      <c r="U16" s="99"/>
      <c r="V16" s="99"/>
      <c r="W16" s="99"/>
      <c r="X16" s="99"/>
      <c r="Y16" s="99"/>
      <c r="Z16" s="99"/>
      <c r="AA16" s="99"/>
      <c r="AB16" s="99"/>
      <c r="AC16" s="99"/>
      <c r="AD16" s="99"/>
      <c r="AE16" s="99"/>
      <c r="AF16" s="99"/>
      <c r="AG16" s="99"/>
      <c r="AH16" s="99"/>
      <c r="AI16" s="99"/>
      <c r="AJ16" s="99"/>
      <c r="AK16" s="99"/>
      <c r="AL16" s="99"/>
      <c r="AM16" s="99"/>
      <c r="AN16" s="99"/>
      <c r="AO16" s="99"/>
      <c r="AP16" s="99"/>
      <c r="AQ16" s="99"/>
      <c r="AR16" s="99"/>
      <c r="AS16" s="99"/>
      <c r="AT16" s="100"/>
      <c r="AU16" s="572"/>
      <c r="AV16" s="573"/>
      <c r="AW16" s="574"/>
    </row>
    <row r="17" spans="1:49" ht="4.5" customHeight="1" thickBot="1" x14ac:dyDescent="0.3">
      <c r="A17" s="106"/>
      <c r="B17" s="106"/>
      <c r="C17" s="106"/>
      <c r="D17" s="106"/>
      <c r="E17" s="106"/>
      <c r="F17" s="106"/>
      <c r="G17" s="106"/>
      <c r="H17" s="106"/>
      <c r="I17" s="106"/>
    </row>
    <row r="18" spans="1:49" ht="15.75" customHeight="1" x14ac:dyDescent="0.25">
      <c r="A18" s="575" t="str">
        <f>IF($M$4="","",$M$4)</f>
        <v/>
      </c>
      <c r="B18" s="576"/>
      <c r="C18" s="576"/>
      <c r="D18" s="576"/>
      <c r="E18" s="576"/>
      <c r="F18" s="576"/>
      <c r="G18" s="576"/>
      <c r="H18" s="576"/>
      <c r="I18" s="576"/>
      <c r="J18" s="101"/>
      <c r="K18" s="89"/>
      <c r="L18" s="97"/>
      <c r="M18" s="97"/>
      <c r="N18" s="97"/>
      <c r="O18" s="97"/>
      <c r="P18" s="97"/>
      <c r="Q18" s="97"/>
      <c r="R18" s="97"/>
      <c r="S18" s="97"/>
      <c r="T18" s="97"/>
      <c r="U18" s="97"/>
      <c r="V18" s="97"/>
      <c r="W18" s="97"/>
      <c r="X18" s="97"/>
      <c r="Y18" s="97"/>
      <c r="Z18" s="97"/>
      <c r="AA18" s="97"/>
      <c r="AB18" s="97"/>
      <c r="AC18" s="97"/>
      <c r="AD18" s="97"/>
      <c r="AE18" s="97"/>
      <c r="AF18" s="97"/>
      <c r="AG18" s="97"/>
      <c r="AH18" s="97"/>
      <c r="AI18" s="97"/>
      <c r="AJ18" s="97"/>
      <c r="AK18" s="97"/>
      <c r="AL18" s="97"/>
      <c r="AM18" s="97"/>
      <c r="AN18" s="97"/>
      <c r="AO18" s="97"/>
      <c r="AP18" s="97"/>
      <c r="AQ18" s="97"/>
      <c r="AR18" s="97"/>
      <c r="AS18" s="97"/>
      <c r="AT18" s="98"/>
      <c r="AU18" s="579"/>
      <c r="AV18" s="580"/>
      <c r="AW18" s="581"/>
    </row>
    <row r="19" spans="1:49" ht="15.75" customHeight="1" thickBot="1" x14ac:dyDescent="0.3">
      <c r="A19" s="570" t="str">
        <f>IF($M$5="","",$M$5)</f>
        <v/>
      </c>
      <c r="B19" s="571"/>
      <c r="C19" s="571"/>
      <c r="D19" s="571"/>
      <c r="E19" s="571"/>
      <c r="F19" s="571"/>
      <c r="G19" s="571"/>
      <c r="H19" s="571"/>
      <c r="I19" s="571"/>
      <c r="J19" s="102"/>
      <c r="K19" s="91"/>
      <c r="L19" s="99"/>
      <c r="M19" s="99"/>
      <c r="N19" s="99"/>
      <c r="O19" s="99"/>
      <c r="P19" s="99"/>
      <c r="Q19" s="99"/>
      <c r="R19" s="99"/>
      <c r="S19" s="99"/>
      <c r="T19" s="99"/>
      <c r="U19" s="99"/>
      <c r="V19" s="99"/>
      <c r="W19" s="99"/>
      <c r="X19" s="99"/>
      <c r="Y19" s="99"/>
      <c r="Z19" s="99"/>
      <c r="AA19" s="99"/>
      <c r="AB19" s="99"/>
      <c r="AC19" s="99"/>
      <c r="AD19" s="99"/>
      <c r="AE19" s="99"/>
      <c r="AF19" s="99"/>
      <c r="AG19" s="99"/>
      <c r="AH19" s="99"/>
      <c r="AI19" s="99"/>
      <c r="AJ19" s="99"/>
      <c r="AK19" s="99"/>
      <c r="AL19" s="99"/>
      <c r="AM19" s="99"/>
      <c r="AN19" s="99"/>
      <c r="AO19" s="99"/>
      <c r="AP19" s="99"/>
      <c r="AQ19" s="99"/>
      <c r="AR19" s="99"/>
      <c r="AS19" s="99"/>
      <c r="AT19" s="100"/>
      <c r="AU19" s="572"/>
      <c r="AV19" s="573"/>
      <c r="AW19" s="574"/>
    </row>
    <row r="20" spans="1:49" ht="15.75" customHeight="1" x14ac:dyDescent="0.25">
      <c r="A20" s="575" t="str">
        <f>IF($AB$4="","",$AB$4)</f>
        <v/>
      </c>
      <c r="B20" s="576"/>
      <c r="C20" s="576"/>
      <c r="D20" s="576"/>
      <c r="E20" s="576"/>
      <c r="F20" s="576"/>
      <c r="G20" s="576"/>
      <c r="H20" s="576"/>
      <c r="I20" s="576"/>
      <c r="J20" s="101"/>
      <c r="K20" s="89"/>
      <c r="L20" s="97"/>
      <c r="M20" s="97"/>
      <c r="N20" s="97"/>
      <c r="O20" s="97"/>
      <c r="P20" s="97"/>
      <c r="Q20" s="97"/>
      <c r="R20" s="97"/>
      <c r="S20" s="97"/>
      <c r="T20" s="97"/>
      <c r="U20" s="97"/>
      <c r="V20" s="97"/>
      <c r="W20" s="97"/>
      <c r="X20" s="97"/>
      <c r="Y20" s="97"/>
      <c r="Z20" s="97"/>
      <c r="AA20" s="97"/>
      <c r="AB20" s="97"/>
      <c r="AC20" s="97"/>
      <c r="AD20" s="97"/>
      <c r="AE20" s="97"/>
      <c r="AF20" s="97"/>
      <c r="AG20" s="97"/>
      <c r="AH20" s="97"/>
      <c r="AI20" s="97"/>
      <c r="AJ20" s="97"/>
      <c r="AK20" s="97"/>
      <c r="AL20" s="97"/>
      <c r="AM20" s="97"/>
      <c r="AN20" s="97"/>
      <c r="AO20" s="97"/>
      <c r="AP20" s="97"/>
      <c r="AQ20" s="97"/>
      <c r="AR20" s="97"/>
      <c r="AS20" s="97"/>
      <c r="AT20" s="98"/>
      <c r="AU20" s="386"/>
      <c r="AV20" s="577"/>
      <c r="AW20" s="578"/>
    </row>
    <row r="21" spans="1:49" ht="15.75" customHeight="1" thickBot="1" x14ac:dyDescent="0.3">
      <c r="A21" s="570" t="str">
        <f>IF($AB$5="","",$AB$5)</f>
        <v/>
      </c>
      <c r="B21" s="571"/>
      <c r="C21" s="571"/>
      <c r="D21" s="571"/>
      <c r="E21" s="571"/>
      <c r="F21" s="571"/>
      <c r="G21" s="571"/>
      <c r="H21" s="571"/>
      <c r="I21" s="571"/>
      <c r="J21" s="102"/>
      <c r="K21" s="91"/>
      <c r="L21" s="99"/>
      <c r="M21" s="99"/>
      <c r="N21" s="99"/>
      <c r="O21" s="99"/>
      <c r="P21" s="99"/>
      <c r="Q21" s="99"/>
      <c r="R21" s="99"/>
      <c r="S21" s="99"/>
      <c r="T21" s="99"/>
      <c r="U21" s="99"/>
      <c r="V21" s="99"/>
      <c r="W21" s="99"/>
      <c r="X21" s="99"/>
      <c r="Y21" s="99"/>
      <c r="Z21" s="99"/>
      <c r="AA21" s="99"/>
      <c r="AB21" s="99"/>
      <c r="AC21" s="99"/>
      <c r="AD21" s="99"/>
      <c r="AE21" s="99"/>
      <c r="AF21" s="99"/>
      <c r="AG21" s="99"/>
      <c r="AH21" s="99"/>
      <c r="AI21" s="99"/>
      <c r="AJ21" s="99"/>
      <c r="AK21" s="99"/>
      <c r="AL21" s="99"/>
      <c r="AM21" s="99"/>
      <c r="AN21" s="99"/>
      <c r="AO21" s="99"/>
      <c r="AP21" s="99"/>
      <c r="AQ21" s="99"/>
      <c r="AR21" s="99"/>
      <c r="AS21" s="99"/>
      <c r="AT21" s="100"/>
      <c r="AU21" s="572"/>
      <c r="AV21" s="573"/>
      <c r="AW21" s="574"/>
    </row>
    <row r="22" spans="1:49" ht="4.5" customHeight="1" thickBot="1" x14ac:dyDescent="0.3">
      <c r="A22" s="106"/>
      <c r="B22" s="106"/>
      <c r="C22" s="106"/>
      <c r="D22" s="106"/>
      <c r="E22" s="106"/>
      <c r="F22" s="106"/>
      <c r="G22" s="106"/>
      <c r="H22" s="106"/>
      <c r="I22" s="106"/>
    </row>
    <row r="23" spans="1:49" ht="15.75" customHeight="1" x14ac:dyDescent="0.25">
      <c r="A23" s="575" t="str">
        <f>IF($M$4="","",$M$4)</f>
        <v/>
      </c>
      <c r="B23" s="576"/>
      <c r="C23" s="576"/>
      <c r="D23" s="576"/>
      <c r="E23" s="576"/>
      <c r="F23" s="576"/>
      <c r="G23" s="576"/>
      <c r="H23" s="576"/>
      <c r="I23" s="576"/>
      <c r="J23" s="101"/>
      <c r="K23" s="89"/>
      <c r="L23" s="97"/>
      <c r="M23" s="97"/>
      <c r="N23" s="97"/>
      <c r="O23" s="97"/>
      <c r="P23" s="97"/>
      <c r="Q23" s="97"/>
      <c r="R23" s="97"/>
      <c r="S23" s="97"/>
      <c r="T23" s="97"/>
      <c r="U23" s="97"/>
      <c r="V23" s="97"/>
      <c r="W23" s="97"/>
      <c r="X23" s="97"/>
      <c r="Y23" s="97"/>
      <c r="Z23" s="97"/>
      <c r="AA23" s="97"/>
      <c r="AB23" s="97"/>
      <c r="AC23" s="97"/>
      <c r="AD23" s="97"/>
      <c r="AE23" s="97"/>
      <c r="AF23" s="97"/>
      <c r="AG23" s="97"/>
      <c r="AH23" s="97"/>
      <c r="AI23" s="97"/>
      <c r="AJ23" s="97"/>
      <c r="AK23" s="97"/>
      <c r="AL23" s="97"/>
      <c r="AM23" s="97"/>
      <c r="AN23" s="97"/>
      <c r="AO23" s="97"/>
      <c r="AP23" s="97"/>
      <c r="AQ23" s="97"/>
      <c r="AR23" s="97"/>
      <c r="AS23" s="97"/>
      <c r="AT23" s="98"/>
      <c r="AU23" s="579"/>
      <c r="AV23" s="580"/>
      <c r="AW23" s="581"/>
    </row>
    <row r="24" spans="1:49" ht="15.75" customHeight="1" thickBot="1" x14ac:dyDescent="0.3">
      <c r="A24" s="570" t="str">
        <f>IF($M$5="","",$M$5)</f>
        <v/>
      </c>
      <c r="B24" s="571"/>
      <c r="C24" s="571"/>
      <c r="D24" s="571"/>
      <c r="E24" s="571"/>
      <c r="F24" s="571"/>
      <c r="G24" s="571"/>
      <c r="H24" s="571"/>
      <c r="I24" s="571"/>
      <c r="J24" s="102"/>
      <c r="K24" s="91"/>
      <c r="L24" s="99"/>
      <c r="M24" s="99"/>
      <c r="N24" s="99"/>
      <c r="O24" s="99"/>
      <c r="P24" s="99"/>
      <c r="Q24" s="99"/>
      <c r="R24" s="99"/>
      <c r="S24" s="99"/>
      <c r="T24" s="99"/>
      <c r="U24" s="99"/>
      <c r="V24" s="99"/>
      <c r="W24" s="99"/>
      <c r="X24" s="99"/>
      <c r="Y24" s="99"/>
      <c r="Z24" s="99"/>
      <c r="AA24" s="99"/>
      <c r="AB24" s="99"/>
      <c r="AC24" s="99"/>
      <c r="AD24" s="99"/>
      <c r="AE24" s="99"/>
      <c r="AF24" s="99"/>
      <c r="AG24" s="99"/>
      <c r="AH24" s="99"/>
      <c r="AI24" s="99"/>
      <c r="AJ24" s="99"/>
      <c r="AK24" s="99"/>
      <c r="AL24" s="99"/>
      <c r="AM24" s="99"/>
      <c r="AN24" s="99"/>
      <c r="AO24" s="99"/>
      <c r="AP24" s="99"/>
      <c r="AQ24" s="99"/>
      <c r="AR24" s="99"/>
      <c r="AS24" s="99"/>
      <c r="AT24" s="100"/>
      <c r="AU24" s="572"/>
      <c r="AV24" s="573"/>
      <c r="AW24" s="574"/>
    </row>
    <row r="25" spans="1:49" ht="15.75" customHeight="1" x14ac:dyDescent="0.25">
      <c r="A25" s="575" t="str">
        <f>IF($AB$4="","",$AB$4)</f>
        <v/>
      </c>
      <c r="B25" s="576"/>
      <c r="C25" s="576"/>
      <c r="D25" s="576"/>
      <c r="E25" s="576"/>
      <c r="F25" s="576"/>
      <c r="G25" s="576"/>
      <c r="H25" s="576"/>
      <c r="I25" s="576"/>
      <c r="J25" s="101"/>
      <c r="K25" s="89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97"/>
      <c r="AC25" s="97"/>
      <c r="AD25" s="97"/>
      <c r="AE25" s="97"/>
      <c r="AF25" s="97"/>
      <c r="AG25" s="97"/>
      <c r="AH25" s="97"/>
      <c r="AI25" s="97"/>
      <c r="AJ25" s="97"/>
      <c r="AK25" s="97"/>
      <c r="AL25" s="97"/>
      <c r="AM25" s="97"/>
      <c r="AN25" s="97"/>
      <c r="AO25" s="97"/>
      <c r="AP25" s="97"/>
      <c r="AQ25" s="97"/>
      <c r="AR25" s="97"/>
      <c r="AS25" s="97"/>
      <c r="AT25" s="98"/>
      <c r="AU25" s="386"/>
      <c r="AV25" s="577"/>
      <c r="AW25" s="578"/>
    </row>
    <row r="26" spans="1:49" ht="15.75" customHeight="1" thickBot="1" x14ac:dyDescent="0.3">
      <c r="A26" s="570" t="str">
        <f>IF($AB$5="","",$AB$5)</f>
        <v/>
      </c>
      <c r="B26" s="571"/>
      <c r="C26" s="571"/>
      <c r="D26" s="571"/>
      <c r="E26" s="571"/>
      <c r="F26" s="571"/>
      <c r="G26" s="571"/>
      <c r="H26" s="571"/>
      <c r="I26" s="571"/>
      <c r="J26" s="102"/>
      <c r="K26" s="91"/>
      <c r="L26" s="99"/>
      <c r="M26" s="99"/>
      <c r="N26" s="99"/>
      <c r="O26" s="99"/>
      <c r="P26" s="99"/>
      <c r="Q26" s="99"/>
      <c r="R26" s="99"/>
      <c r="S26" s="99"/>
      <c r="T26" s="99"/>
      <c r="U26" s="99"/>
      <c r="V26" s="99"/>
      <c r="W26" s="99"/>
      <c r="X26" s="99"/>
      <c r="Y26" s="99"/>
      <c r="Z26" s="99"/>
      <c r="AA26" s="99"/>
      <c r="AB26" s="99"/>
      <c r="AC26" s="99"/>
      <c r="AD26" s="99"/>
      <c r="AE26" s="99"/>
      <c r="AF26" s="99"/>
      <c r="AG26" s="99"/>
      <c r="AH26" s="99"/>
      <c r="AI26" s="99"/>
      <c r="AJ26" s="99"/>
      <c r="AK26" s="99"/>
      <c r="AL26" s="99"/>
      <c r="AM26" s="99"/>
      <c r="AN26" s="99"/>
      <c r="AO26" s="99"/>
      <c r="AP26" s="99"/>
      <c r="AQ26" s="99"/>
      <c r="AR26" s="99"/>
      <c r="AS26" s="99"/>
      <c r="AT26" s="100"/>
      <c r="AU26" s="572"/>
      <c r="AV26" s="573"/>
      <c r="AW26" s="574"/>
    </row>
    <row r="27" spans="1:49" ht="4.5" customHeight="1" thickBot="1" x14ac:dyDescent="0.3">
      <c r="A27" s="106"/>
      <c r="B27" s="106"/>
      <c r="C27" s="106"/>
      <c r="D27" s="106"/>
      <c r="E27" s="106"/>
      <c r="F27" s="106"/>
      <c r="G27" s="106"/>
      <c r="H27" s="106"/>
      <c r="I27" s="106"/>
    </row>
    <row r="28" spans="1:49" ht="15.75" customHeight="1" x14ac:dyDescent="0.25">
      <c r="A28" s="575" t="str">
        <f>IF($M$4="","",$M$4)</f>
        <v/>
      </c>
      <c r="B28" s="576"/>
      <c r="C28" s="576"/>
      <c r="D28" s="576"/>
      <c r="E28" s="576"/>
      <c r="F28" s="576"/>
      <c r="G28" s="576"/>
      <c r="H28" s="576"/>
      <c r="I28" s="576"/>
      <c r="J28" s="101"/>
      <c r="K28" s="89"/>
      <c r="L28" s="97"/>
      <c r="M28" s="97"/>
      <c r="N28" s="97"/>
      <c r="O28" s="97"/>
      <c r="P28" s="97"/>
      <c r="Q28" s="97"/>
      <c r="R28" s="97"/>
      <c r="S28" s="97"/>
      <c r="T28" s="97"/>
      <c r="U28" s="97"/>
      <c r="V28" s="97"/>
      <c r="W28" s="97"/>
      <c r="X28" s="97"/>
      <c r="Y28" s="97"/>
      <c r="Z28" s="97"/>
      <c r="AA28" s="97"/>
      <c r="AB28" s="97"/>
      <c r="AC28" s="97"/>
      <c r="AD28" s="97"/>
      <c r="AE28" s="97"/>
      <c r="AF28" s="97"/>
      <c r="AG28" s="97"/>
      <c r="AH28" s="97"/>
      <c r="AI28" s="97"/>
      <c r="AJ28" s="97"/>
      <c r="AK28" s="97"/>
      <c r="AL28" s="97"/>
      <c r="AM28" s="97"/>
      <c r="AN28" s="97"/>
      <c r="AO28" s="97"/>
      <c r="AP28" s="97"/>
      <c r="AQ28" s="97"/>
      <c r="AR28" s="97"/>
      <c r="AS28" s="97"/>
      <c r="AT28" s="98"/>
      <c r="AU28" s="579"/>
      <c r="AV28" s="580"/>
      <c r="AW28" s="581"/>
    </row>
    <row r="29" spans="1:49" ht="15.75" customHeight="1" thickBot="1" x14ac:dyDescent="0.3">
      <c r="A29" s="570" t="str">
        <f>IF($M$5="","",$M$5)</f>
        <v/>
      </c>
      <c r="B29" s="571"/>
      <c r="C29" s="571"/>
      <c r="D29" s="571"/>
      <c r="E29" s="571"/>
      <c r="F29" s="571"/>
      <c r="G29" s="571"/>
      <c r="H29" s="571"/>
      <c r="I29" s="571"/>
      <c r="J29" s="102"/>
      <c r="K29" s="91"/>
      <c r="L29" s="99"/>
      <c r="M29" s="99"/>
      <c r="N29" s="99"/>
      <c r="O29" s="99"/>
      <c r="P29" s="99"/>
      <c r="Q29" s="99"/>
      <c r="R29" s="99"/>
      <c r="S29" s="99"/>
      <c r="T29" s="99"/>
      <c r="U29" s="99"/>
      <c r="V29" s="99"/>
      <c r="W29" s="99"/>
      <c r="X29" s="99"/>
      <c r="Y29" s="99"/>
      <c r="Z29" s="99"/>
      <c r="AA29" s="99"/>
      <c r="AB29" s="99"/>
      <c r="AC29" s="99"/>
      <c r="AD29" s="99"/>
      <c r="AE29" s="99"/>
      <c r="AF29" s="99"/>
      <c r="AG29" s="99"/>
      <c r="AH29" s="99"/>
      <c r="AI29" s="99"/>
      <c r="AJ29" s="99"/>
      <c r="AK29" s="99"/>
      <c r="AL29" s="99"/>
      <c r="AM29" s="99"/>
      <c r="AN29" s="99"/>
      <c r="AO29" s="99"/>
      <c r="AP29" s="99"/>
      <c r="AQ29" s="99"/>
      <c r="AR29" s="99"/>
      <c r="AS29" s="99"/>
      <c r="AT29" s="100"/>
      <c r="AU29" s="572"/>
      <c r="AV29" s="573"/>
      <c r="AW29" s="574"/>
    </row>
    <row r="30" spans="1:49" ht="15.75" customHeight="1" x14ac:dyDescent="0.25">
      <c r="A30" s="575" t="str">
        <f>IF($AB$4="","",$AB$4)</f>
        <v/>
      </c>
      <c r="B30" s="576"/>
      <c r="C30" s="576"/>
      <c r="D30" s="576"/>
      <c r="E30" s="576"/>
      <c r="F30" s="576"/>
      <c r="G30" s="576"/>
      <c r="H30" s="576"/>
      <c r="I30" s="576"/>
      <c r="J30" s="101"/>
      <c r="K30" s="89"/>
      <c r="L30" s="97"/>
      <c r="M30" s="97"/>
      <c r="N30" s="97"/>
      <c r="O30" s="97"/>
      <c r="P30" s="97"/>
      <c r="Q30" s="97"/>
      <c r="R30" s="97"/>
      <c r="S30" s="97"/>
      <c r="T30" s="97"/>
      <c r="U30" s="97"/>
      <c r="V30" s="97"/>
      <c r="W30" s="97"/>
      <c r="X30" s="97"/>
      <c r="Y30" s="97"/>
      <c r="Z30" s="97"/>
      <c r="AA30" s="97"/>
      <c r="AB30" s="97"/>
      <c r="AC30" s="97"/>
      <c r="AD30" s="97"/>
      <c r="AE30" s="97"/>
      <c r="AF30" s="97"/>
      <c r="AG30" s="97"/>
      <c r="AH30" s="97"/>
      <c r="AI30" s="97"/>
      <c r="AJ30" s="97"/>
      <c r="AK30" s="97"/>
      <c r="AL30" s="97"/>
      <c r="AM30" s="97"/>
      <c r="AN30" s="97"/>
      <c r="AO30" s="97"/>
      <c r="AP30" s="97"/>
      <c r="AQ30" s="97"/>
      <c r="AR30" s="97"/>
      <c r="AS30" s="97"/>
      <c r="AT30" s="98"/>
      <c r="AU30" s="386"/>
      <c r="AV30" s="577"/>
      <c r="AW30" s="578"/>
    </row>
    <row r="31" spans="1:49" ht="15.75" customHeight="1" thickBot="1" x14ac:dyDescent="0.3">
      <c r="A31" s="570" t="str">
        <f>IF($AB$5="","",$AB$5)</f>
        <v/>
      </c>
      <c r="B31" s="571"/>
      <c r="C31" s="571"/>
      <c r="D31" s="571"/>
      <c r="E31" s="571"/>
      <c r="F31" s="571"/>
      <c r="G31" s="571"/>
      <c r="H31" s="571"/>
      <c r="I31" s="571"/>
      <c r="J31" s="102"/>
      <c r="K31" s="91"/>
      <c r="L31" s="99"/>
      <c r="M31" s="99"/>
      <c r="N31" s="99"/>
      <c r="O31" s="99"/>
      <c r="P31" s="99"/>
      <c r="Q31" s="99"/>
      <c r="R31" s="99"/>
      <c r="S31" s="99"/>
      <c r="T31" s="99"/>
      <c r="U31" s="99"/>
      <c r="V31" s="99"/>
      <c r="W31" s="99"/>
      <c r="X31" s="99"/>
      <c r="Y31" s="99"/>
      <c r="Z31" s="99"/>
      <c r="AA31" s="99"/>
      <c r="AB31" s="99"/>
      <c r="AC31" s="99"/>
      <c r="AD31" s="99"/>
      <c r="AE31" s="99"/>
      <c r="AF31" s="99"/>
      <c r="AG31" s="99"/>
      <c r="AH31" s="99"/>
      <c r="AI31" s="99"/>
      <c r="AJ31" s="99"/>
      <c r="AK31" s="99"/>
      <c r="AL31" s="99"/>
      <c r="AM31" s="99"/>
      <c r="AN31" s="99"/>
      <c r="AO31" s="99"/>
      <c r="AP31" s="99"/>
      <c r="AQ31" s="99"/>
      <c r="AR31" s="99"/>
      <c r="AS31" s="99"/>
      <c r="AT31" s="100"/>
      <c r="AU31" s="572"/>
      <c r="AV31" s="573"/>
      <c r="AW31" s="574"/>
    </row>
    <row r="32" spans="1:49" ht="4.5" customHeight="1" thickBot="1" x14ac:dyDescent="0.3">
      <c r="A32" s="106"/>
      <c r="B32" s="106"/>
      <c r="C32" s="106"/>
      <c r="D32" s="106"/>
      <c r="E32" s="106"/>
      <c r="F32" s="106"/>
      <c r="G32" s="106"/>
      <c r="H32" s="106"/>
      <c r="I32" s="106"/>
    </row>
    <row r="33" spans="1:49" ht="15.75" customHeight="1" x14ac:dyDescent="0.25">
      <c r="A33" s="575" t="str">
        <f>IF($M$4="","",$M$4)</f>
        <v/>
      </c>
      <c r="B33" s="576"/>
      <c r="C33" s="576"/>
      <c r="D33" s="576"/>
      <c r="E33" s="576"/>
      <c r="F33" s="576"/>
      <c r="G33" s="576"/>
      <c r="H33" s="576"/>
      <c r="I33" s="576"/>
      <c r="J33" s="101"/>
      <c r="K33" s="89"/>
      <c r="L33" s="97"/>
      <c r="M33" s="97"/>
      <c r="N33" s="97"/>
      <c r="O33" s="97"/>
      <c r="P33" s="97"/>
      <c r="Q33" s="97"/>
      <c r="R33" s="97"/>
      <c r="S33" s="97"/>
      <c r="T33" s="97"/>
      <c r="U33" s="97"/>
      <c r="V33" s="97"/>
      <c r="W33" s="97"/>
      <c r="X33" s="97"/>
      <c r="Y33" s="97"/>
      <c r="Z33" s="97"/>
      <c r="AA33" s="97"/>
      <c r="AB33" s="97"/>
      <c r="AC33" s="97"/>
      <c r="AD33" s="97"/>
      <c r="AE33" s="97"/>
      <c r="AF33" s="97"/>
      <c r="AG33" s="97"/>
      <c r="AH33" s="97"/>
      <c r="AI33" s="97"/>
      <c r="AJ33" s="97"/>
      <c r="AK33" s="97"/>
      <c r="AL33" s="97"/>
      <c r="AM33" s="97"/>
      <c r="AN33" s="97"/>
      <c r="AO33" s="97"/>
      <c r="AP33" s="97"/>
      <c r="AQ33" s="97"/>
      <c r="AR33" s="97"/>
      <c r="AS33" s="97"/>
      <c r="AT33" s="98"/>
      <c r="AU33" s="579"/>
      <c r="AV33" s="580"/>
      <c r="AW33" s="581"/>
    </row>
    <row r="34" spans="1:49" ht="15.75" customHeight="1" thickBot="1" x14ac:dyDescent="0.3">
      <c r="A34" s="570" t="str">
        <f>IF($M$5="","",$M$5)</f>
        <v/>
      </c>
      <c r="B34" s="571"/>
      <c r="C34" s="571"/>
      <c r="D34" s="571"/>
      <c r="E34" s="571"/>
      <c r="F34" s="571"/>
      <c r="G34" s="571"/>
      <c r="H34" s="571"/>
      <c r="I34" s="571"/>
      <c r="J34" s="102"/>
      <c r="K34" s="91"/>
      <c r="L34" s="99"/>
      <c r="M34" s="99"/>
      <c r="N34" s="99"/>
      <c r="O34" s="99"/>
      <c r="P34" s="99"/>
      <c r="Q34" s="99"/>
      <c r="R34" s="99"/>
      <c r="S34" s="99"/>
      <c r="T34" s="99"/>
      <c r="U34" s="99"/>
      <c r="V34" s="99"/>
      <c r="W34" s="99"/>
      <c r="X34" s="99"/>
      <c r="Y34" s="99"/>
      <c r="Z34" s="99"/>
      <c r="AA34" s="99"/>
      <c r="AB34" s="99"/>
      <c r="AC34" s="99"/>
      <c r="AD34" s="99"/>
      <c r="AE34" s="99"/>
      <c r="AF34" s="99"/>
      <c r="AG34" s="99"/>
      <c r="AH34" s="99"/>
      <c r="AI34" s="99"/>
      <c r="AJ34" s="99"/>
      <c r="AK34" s="99"/>
      <c r="AL34" s="99"/>
      <c r="AM34" s="99"/>
      <c r="AN34" s="99"/>
      <c r="AO34" s="99"/>
      <c r="AP34" s="99"/>
      <c r="AQ34" s="99"/>
      <c r="AR34" s="99"/>
      <c r="AS34" s="99"/>
      <c r="AT34" s="100"/>
      <c r="AU34" s="572"/>
      <c r="AV34" s="573"/>
      <c r="AW34" s="574"/>
    </row>
    <row r="35" spans="1:49" ht="15.75" customHeight="1" x14ac:dyDescent="0.25">
      <c r="A35" s="575" t="str">
        <f>IF($AB$4="","",$AB$4)</f>
        <v/>
      </c>
      <c r="B35" s="576"/>
      <c r="C35" s="576"/>
      <c r="D35" s="576"/>
      <c r="E35" s="576"/>
      <c r="F35" s="576"/>
      <c r="G35" s="576"/>
      <c r="H35" s="576"/>
      <c r="I35" s="576"/>
      <c r="J35" s="101"/>
      <c r="K35" s="89"/>
      <c r="L35" s="97"/>
      <c r="M35" s="97"/>
      <c r="N35" s="97"/>
      <c r="O35" s="97"/>
      <c r="P35" s="97"/>
      <c r="Q35" s="97"/>
      <c r="R35" s="97"/>
      <c r="S35" s="97"/>
      <c r="T35" s="97"/>
      <c r="U35" s="97"/>
      <c r="V35" s="97"/>
      <c r="W35" s="97"/>
      <c r="X35" s="97"/>
      <c r="Y35" s="97"/>
      <c r="Z35" s="97"/>
      <c r="AA35" s="97"/>
      <c r="AB35" s="97"/>
      <c r="AC35" s="97"/>
      <c r="AD35" s="97"/>
      <c r="AE35" s="97"/>
      <c r="AF35" s="97"/>
      <c r="AG35" s="97"/>
      <c r="AH35" s="97"/>
      <c r="AI35" s="97"/>
      <c r="AJ35" s="97"/>
      <c r="AK35" s="97"/>
      <c r="AL35" s="97"/>
      <c r="AM35" s="97"/>
      <c r="AN35" s="97"/>
      <c r="AO35" s="97"/>
      <c r="AP35" s="97"/>
      <c r="AQ35" s="97"/>
      <c r="AR35" s="97"/>
      <c r="AS35" s="97"/>
      <c r="AT35" s="98"/>
      <c r="AU35" s="386"/>
      <c r="AV35" s="577"/>
      <c r="AW35" s="578"/>
    </row>
    <row r="36" spans="1:49" ht="15.75" customHeight="1" thickBot="1" x14ac:dyDescent="0.3">
      <c r="A36" s="570" t="str">
        <f>IF($AB$5="","",$AB$5)</f>
        <v/>
      </c>
      <c r="B36" s="571"/>
      <c r="C36" s="571"/>
      <c r="D36" s="571"/>
      <c r="E36" s="571"/>
      <c r="F36" s="571"/>
      <c r="G36" s="571"/>
      <c r="H36" s="571"/>
      <c r="I36" s="571"/>
      <c r="J36" s="102"/>
      <c r="K36" s="91"/>
      <c r="L36" s="99"/>
      <c r="M36" s="99"/>
      <c r="N36" s="99"/>
      <c r="O36" s="99"/>
      <c r="P36" s="99"/>
      <c r="Q36" s="99"/>
      <c r="R36" s="99"/>
      <c r="S36" s="99"/>
      <c r="T36" s="99"/>
      <c r="U36" s="99"/>
      <c r="V36" s="99"/>
      <c r="W36" s="99"/>
      <c r="X36" s="99"/>
      <c r="Y36" s="99"/>
      <c r="Z36" s="99"/>
      <c r="AA36" s="99"/>
      <c r="AB36" s="99"/>
      <c r="AC36" s="99"/>
      <c r="AD36" s="99"/>
      <c r="AE36" s="99"/>
      <c r="AF36" s="99"/>
      <c r="AG36" s="99"/>
      <c r="AH36" s="99"/>
      <c r="AI36" s="99"/>
      <c r="AJ36" s="99"/>
      <c r="AK36" s="99"/>
      <c r="AL36" s="99"/>
      <c r="AM36" s="99"/>
      <c r="AN36" s="99"/>
      <c r="AO36" s="99"/>
      <c r="AP36" s="99"/>
      <c r="AQ36" s="99"/>
      <c r="AR36" s="99"/>
      <c r="AS36" s="99"/>
      <c r="AT36" s="100"/>
      <c r="AU36" s="572"/>
      <c r="AV36" s="573"/>
      <c r="AW36" s="574"/>
    </row>
    <row r="37" spans="1:49" ht="4.5" customHeight="1" x14ac:dyDescent="0.25"/>
    <row r="40" spans="1:49" x14ac:dyDescent="0.25">
      <c r="M40" t="s">
        <v>340</v>
      </c>
      <c r="R40" s="103"/>
      <c r="S40" s="103"/>
      <c r="T40" s="103"/>
      <c r="U40" s="103"/>
      <c r="V40" s="103"/>
      <c r="W40" s="103"/>
      <c r="X40" s="103"/>
      <c r="Y40" s="103"/>
      <c r="Z40" s="103"/>
      <c r="AA40" s="103"/>
      <c r="AB40" s="103"/>
      <c r="AC40" s="103"/>
      <c r="AD40" s="103"/>
      <c r="AF40" t="s">
        <v>284</v>
      </c>
      <c r="AK40" s="103"/>
      <c r="AL40" s="103"/>
      <c r="AM40" s="103"/>
      <c r="AN40" s="103"/>
      <c r="AO40" s="103"/>
      <c r="AP40" s="103"/>
      <c r="AQ40" s="103"/>
      <c r="AR40" s="103"/>
      <c r="AS40" s="103"/>
      <c r="AT40" s="103"/>
      <c r="AU40" s="103"/>
      <c r="AV40" s="103"/>
      <c r="AW40" s="103"/>
    </row>
  </sheetData>
  <sheetProtection sheet="1" objects="1" scenarios="1" selectLockedCells="1"/>
  <mergeCells count="69">
    <mergeCell ref="A36:I36"/>
    <mergeCell ref="AU36:AW36"/>
    <mergeCell ref="A33:I33"/>
    <mergeCell ref="AU33:AW33"/>
    <mergeCell ref="A34:I34"/>
    <mergeCell ref="AU34:AW34"/>
    <mergeCell ref="A35:I35"/>
    <mergeCell ref="AU35:AW35"/>
    <mergeCell ref="A29:I29"/>
    <mergeCell ref="AU29:AW29"/>
    <mergeCell ref="A30:I30"/>
    <mergeCell ref="AU30:AW30"/>
    <mergeCell ref="A31:I31"/>
    <mergeCell ref="AU31:AW31"/>
    <mergeCell ref="A25:I25"/>
    <mergeCell ref="AU25:AW25"/>
    <mergeCell ref="A26:I26"/>
    <mergeCell ref="AU26:AW26"/>
    <mergeCell ref="A28:I28"/>
    <mergeCell ref="AU28:AW28"/>
    <mergeCell ref="A21:I21"/>
    <mergeCell ref="AU21:AW21"/>
    <mergeCell ref="A23:I23"/>
    <mergeCell ref="AU23:AW23"/>
    <mergeCell ref="A24:I24"/>
    <mergeCell ref="AU24:AW24"/>
    <mergeCell ref="A18:I18"/>
    <mergeCell ref="AU18:AW18"/>
    <mergeCell ref="A19:I19"/>
    <mergeCell ref="AU19:AW19"/>
    <mergeCell ref="A20:I20"/>
    <mergeCell ref="AU20:AW20"/>
    <mergeCell ref="A14:I14"/>
    <mergeCell ref="AU14:AW14"/>
    <mergeCell ref="A15:I15"/>
    <mergeCell ref="AU15:AW15"/>
    <mergeCell ref="A16:I16"/>
    <mergeCell ref="AU16:AW16"/>
    <mergeCell ref="A10:I10"/>
    <mergeCell ref="AU10:AW10"/>
    <mergeCell ref="A11:I11"/>
    <mergeCell ref="AU11:AW11"/>
    <mergeCell ref="A13:I13"/>
    <mergeCell ref="AU13:AW13"/>
    <mergeCell ref="A7:X7"/>
    <mergeCell ref="Z7:AW7"/>
    <mergeCell ref="A8:I8"/>
    <mergeCell ref="AU8:AW8"/>
    <mergeCell ref="A9:I9"/>
    <mergeCell ref="AU9:AW9"/>
    <mergeCell ref="E5:K5"/>
    <mergeCell ref="M5:U5"/>
    <mergeCell ref="W5:X5"/>
    <mergeCell ref="Z5:AA5"/>
    <mergeCell ref="AB5:AJ5"/>
    <mergeCell ref="E6:K6"/>
    <mergeCell ref="M6:U6"/>
    <mergeCell ref="W6:X6"/>
    <mergeCell ref="Z6:AA6"/>
    <mergeCell ref="AB6:AJ6"/>
    <mergeCell ref="A1:AW2"/>
    <mergeCell ref="E3:H3"/>
    <mergeCell ref="I3:K3"/>
    <mergeCell ref="L3:AL3"/>
    <mergeCell ref="E4:K4"/>
    <mergeCell ref="M4:U4"/>
    <mergeCell ref="W4:X4"/>
    <mergeCell ref="Z4:AA4"/>
    <mergeCell ref="AB4:AJ4"/>
  </mergeCells>
  <pageMargins left="0.35433070866141736" right="0.35433070866141736" top="0.35433070866141736" bottom="0.35433070866141736" header="0" footer="0"/>
  <pageSetup paperSize="9" orientation="landscape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11</vt:i4>
      </vt:variant>
      <vt:variant>
        <vt:lpstr>Benannte Bereiche</vt:lpstr>
      </vt:variant>
      <vt:variant>
        <vt:i4>5</vt:i4>
      </vt:variant>
    </vt:vector>
  </HeadingPairs>
  <TitlesOfParts>
    <vt:vector size="16" baseType="lpstr">
      <vt:lpstr>Schiedsrichter</vt:lpstr>
      <vt:lpstr>Versionshistory</vt:lpstr>
      <vt:lpstr>Ranglisten</vt:lpstr>
      <vt:lpstr>Grundeinstellungen</vt:lpstr>
      <vt:lpstr>Fahrplan</vt:lpstr>
      <vt:lpstr>Mindestanforderungen</vt:lpstr>
      <vt:lpstr>Quittungen</vt:lpstr>
      <vt:lpstr>Mannschaftsaufstellung</vt:lpstr>
      <vt:lpstr>Spielbericht</vt:lpstr>
      <vt:lpstr>Schiedsrichterzettel</vt:lpstr>
      <vt:lpstr>Schiedsrichterzettel-Lehrvorlag</vt:lpstr>
      <vt:lpstr>Mannschaftsaufstellung!Druckbereich</vt:lpstr>
      <vt:lpstr>Mindestanforderungen!Druckbereich</vt:lpstr>
      <vt:lpstr>Schiedsrichterzettel!Druckbereich</vt:lpstr>
      <vt:lpstr>'Schiedsrichterzettel-Lehrvorlag'!Druckbereich</vt:lpstr>
      <vt:lpstr>Spielbericht!Druckbereich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SSD-Video</dc:creator>
  <cp:lastModifiedBy>SSD-Video</cp:lastModifiedBy>
  <cp:lastPrinted>2016-02-18T15:18:36Z</cp:lastPrinted>
  <dcterms:created xsi:type="dcterms:W3CDTF">2006-09-16T00:00:00Z</dcterms:created>
  <dcterms:modified xsi:type="dcterms:W3CDTF">2016-02-18T15:25:11Z</dcterms:modified>
</cp:coreProperties>
</file>